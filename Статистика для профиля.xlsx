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firstSheet="7" activeTab="9"/>
  </bookViews>
  <sheets>
    <sheet name="Основная_таблица" sheetId="1" r:id="rId1"/>
    <sheet name="Таблица_без_выходных" sheetId="13" r:id="rId2"/>
    <sheet name="Сводная_таблица_по_часам" sheetId="14" r:id="rId3"/>
    <sheet name="Сводная_таблица_поиска_ЧПН" sheetId="17" r:id="rId4"/>
    <sheet name="Таблица_операций_в_ЧПН" sheetId="19" r:id="rId5"/>
    <sheet name="Сводная_таблица_операций_в_ЧПН" sheetId="20" r:id="rId6"/>
    <sheet name="Таблица_с_интенсивностью" sheetId="21" r:id="rId7"/>
    <sheet name="Сводная_таблица_транзакций" sheetId="32" r:id="rId8"/>
    <sheet name="Таблица_топ-4" sheetId="31" r:id="rId9"/>
    <sheet name="Сравнение_топ4_текущ_предыдущ" sheetId="33" r:id="rId10"/>
    <sheet name="Итоговый_профиль_нагрузки" sheetId="34" r:id="rId11"/>
  </sheets>
  <definedNames>
    <definedName name="_xlnm._FilterDatabase" localSheetId="1" hidden="1">Таблица_без_выходных!$A$1:$D$559</definedName>
  </definedName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<sst xmlns="http://schemas.openxmlformats.org/spreadsheetml/2006/main" count="3303" uniqueCount="775">
  <si>
    <t>Дата</t>
  </si>
  <si>
    <t>Транзакция</t>
  </si>
  <si>
    <t>Кол-во</t>
  </si>
  <si>
    <t>День нед.</t>
  </si>
  <si>
    <t>2024-10-01 00</t>
  </si>
  <si>
    <t>PutIssue</t>
  </si>
  <si>
    <t>2024-10-01 01</t>
  </si>
  <si>
    <t>MoveIssue</t>
  </si>
  <si>
    <t>2024-10-01 02</t>
  </si>
  <si>
    <t>RenameIssue</t>
  </si>
  <si>
    <t>2024-10-01 03</t>
  </si>
  <si>
    <t>CloseIssue</t>
  </si>
  <si>
    <t>2024-10-01 04</t>
  </si>
  <si>
    <t>GetIssue</t>
  </si>
  <si>
    <t>2024-10-01 05</t>
  </si>
  <si>
    <t>InspectIssue</t>
  </si>
  <si>
    <t>2024-10-01 06</t>
  </si>
  <si>
    <t>UpdateIssue</t>
  </si>
  <si>
    <t>2024-10-01 07</t>
  </si>
  <si>
    <t>DeleteIssue</t>
  </si>
  <si>
    <t>2024-10-01 08</t>
  </si>
  <si>
    <t>CreateIssue</t>
  </si>
  <si>
    <t>2024-10-01 09</t>
  </si>
  <si>
    <t>SaveIssue</t>
  </si>
  <si>
    <t>2024-10-01 10</t>
  </si>
  <si>
    <t>2024-10-01 11</t>
  </si>
  <si>
    <t>2024-10-01 12</t>
  </si>
  <si>
    <t>2024-10-01 13</t>
  </si>
  <si>
    <t>2024-10-01 14</t>
  </si>
  <si>
    <t>2024-10-01 15</t>
  </si>
  <si>
    <t>2024-10-01 16</t>
  </si>
  <si>
    <t>2024-10-01 17</t>
  </si>
  <si>
    <t>2024-10-01 18</t>
  </si>
  <si>
    <t>2024-10-01 19</t>
  </si>
  <si>
    <t>2024-10-01 20</t>
  </si>
  <si>
    <t>2024-10-01 21</t>
  </si>
  <si>
    <t>2024-10-01 22</t>
  </si>
  <si>
    <t>2024-10-01 23</t>
  </si>
  <si>
    <t>2024-10-02 00</t>
  </si>
  <si>
    <t>2024-10-02 01</t>
  </si>
  <si>
    <t>2024-10-02 02</t>
  </si>
  <si>
    <t>2024-10-02 03</t>
  </si>
  <si>
    <t>2024-10-02 04</t>
  </si>
  <si>
    <t>2024-10-02 05</t>
  </si>
  <si>
    <t>2024-10-02 06</t>
  </si>
  <si>
    <t>2024-10-02 07</t>
  </si>
  <si>
    <t>2024-10-02 08</t>
  </si>
  <si>
    <t>2024-10-02 09</t>
  </si>
  <si>
    <t>2024-10-02 10</t>
  </si>
  <si>
    <t>2024-10-02 11</t>
  </si>
  <si>
    <t>2024-10-02 12</t>
  </si>
  <si>
    <t>2024-10-02 13</t>
  </si>
  <si>
    <t>2024-10-02 14</t>
  </si>
  <si>
    <t>2024-10-02 15</t>
  </si>
  <si>
    <t>2024-10-02 16</t>
  </si>
  <si>
    <t>2024-10-02 17</t>
  </si>
  <si>
    <t>2024-10-02 18</t>
  </si>
  <si>
    <t>2024-10-02 19</t>
  </si>
  <si>
    <t>2024-10-02 20</t>
  </si>
  <si>
    <t>2024-10-02 21</t>
  </si>
  <si>
    <t>2024-10-02 22</t>
  </si>
  <si>
    <t>2024-10-02 23</t>
  </si>
  <si>
    <t>2024-10-03 00</t>
  </si>
  <si>
    <t>2024-10-03 01</t>
  </si>
  <si>
    <t>2024-10-03 02</t>
  </si>
  <si>
    <t>2024-10-03 03</t>
  </si>
  <si>
    <t>2024-10-03 04</t>
  </si>
  <si>
    <t>2024-10-03 05</t>
  </si>
  <si>
    <t>2024-10-03 06</t>
  </si>
  <si>
    <t>2024-10-03 07</t>
  </si>
  <si>
    <t>2024-10-03 08</t>
  </si>
  <si>
    <t>2024-10-03 09</t>
  </si>
  <si>
    <t>2024-10-03 10</t>
  </si>
  <si>
    <t>2024-10-03 11</t>
  </si>
  <si>
    <t>2024-10-03 12</t>
  </si>
  <si>
    <t>2024-10-03 13</t>
  </si>
  <si>
    <t>2024-10-03 14</t>
  </si>
  <si>
    <t>2024-10-03 15</t>
  </si>
  <si>
    <t>2024-10-03 16</t>
  </si>
  <si>
    <t>2024-10-03 17</t>
  </si>
  <si>
    <t>2024-10-03 18</t>
  </si>
  <si>
    <t>2024-10-03 19</t>
  </si>
  <si>
    <t>2024-10-03 20</t>
  </si>
  <si>
    <t>2024-10-03 21</t>
  </si>
  <si>
    <t>2024-10-03 22</t>
  </si>
  <si>
    <t>2024-10-03 23</t>
  </si>
  <si>
    <t>2024-10-04 00</t>
  </si>
  <si>
    <t>2024-10-04 01</t>
  </si>
  <si>
    <t>2024-10-04 02</t>
  </si>
  <si>
    <t>2024-10-04 03</t>
  </si>
  <si>
    <t>2024-10-04 04</t>
  </si>
  <si>
    <t>2024-10-04 05</t>
  </si>
  <si>
    <t>2024-10-04 06</t>
  </si>
  <si>
    <t>2024-10-04 07</t>
  </si>
  <si>
    <t>2024-10-04 08</t>
  </si>
  <si>
    <t>2024-10-04 09</t>
  </si>
  <si>
    <t>2024-10-04 10</t>
  </si>
  <si>
    <t>2024-10-04 11</t>
  </si>
  <si>
    <t>2024-10-04 12</t>
  </si>
  <si>
    <t>2024-10-04 13</t>
  </si>
  <si>
    <t>2024-10-04 14</t>
  </si>
  <si>
    <t>2024-10-04 15</t>
  </si>
  <si>
    <t>2024-10-04 16</t>
  </si>
  <si>
    <t>2024-10-04 17</t>
  </si>
  <si>
    <t>2024-10-04 18</t>
  </si>
  <si>
    <t>2024-10-04 19</t>
  </si>
  <si>
    <t>2024-10-04 20</t>
  </si>
  <si>
    <t>2024-10-04 21</t>
  </si>
  <si>
    <t>2024-10-04 22</t>
  </si>
  <si>
    <t>2024-10-04 23</t>
  </si>
  <si>
    <t>2024-10-05 00</t>
  </si>
  <si>
    <t>2024-10-05 01</t>
  </si>
  <si>
    <t>2024-10-05 02</t>
  </si>
  <si>
    <t>2024-10-05 03</t>
  </si>
  <si>
    <t>2024-10-05 04</t>
  </si>
  <si>
    <t>2024-10-05 05</t>
  </si>
  <si>
    <t>2024-10-05 06</t>
  </si>
  <si>
    <t>2024-10-05 07</t>
  </si>
  <si>
    <t>2024-10-05 08</t>
  </si>
  <si>
    <t>2024-10-05 09</t>
  </si>
  <si>
    <t>2024-10-05 10</t>
  </si>
  <si>
    <t>2024-10-05 11</t>
  </si>
  <si>
    <t>2024-10-05 12</t>
  </si>
  <si>
    <t>2024-10-05 13</t>
  </si>
  <si>
    <t>2024-10-05 14</t>
  </si>
  <si>
    <t>2024-10-05 15</t>
  </si>
  <si>
    <t>2024-10-05 16</t>
  </si>
  <si>
    <t>2024-10-05 17</t>
  </si>
  <si>
    <t>2024-10-05 18</t>
  </si>
  <si>
    <t>2024-10-05 19</t>
  </si>
  <si>
    <t>2024-10-05 20</t>
  </si>
  <si>
    <t>2024-10-05 21</t>
  </si>
  <si>
    <t>2024-10-05 22</t>
  </si>
  <si>
    <t>2024-10-05 23</t>
  </si>
  <si>
    <t>2024-10-06 00</t>
  </si>
  <si>
    <t>2024-10-06 01</t>
  </si>
  <si>
    <t>2024-10-06 02</t>
  </si>
  <si>
    <t>2024-10-06 03</t>
  </si>
  <si>
    <t>2024-10-06 04</t>
  </si>
  <si>
    <t>2024-10-06 05</t>
  </si>
  <si>
    <t>2024-10-06 06</t>
  </si>
  <si>
    <t>2024-10-06 07</t>
  </si>
  <si>
    <t>2024-10-06 08</t>
  </si>
  <si>
    <t>2024-10-06 09</t>
  </si>
  <si>
    <t>2024-10-06 10</t>
  </si>
  <si>
    <t>2024-10-06 11</t>
  </si>
  <si>
    <t>2024-10-06 12</t>
  </si>
  <si>
    <t>2024-10-06 13</t>
  </si>
  <si>
    <t>2024-10-06 14</t>
  </si>
  <si>
    <t>2024-10-06 15</t>
  </si>
  <si>
    <t>2024-10-06 16</t>
  </si>
  <si>
    <t>2024-10-06 17</t>
  </si>
  <si>
    <t>2024-10-06 18</t>
  </si>
  <si>
    <t>2024-10-06 19</t>
  </si>
  <si>
    <t>2024-10-06 20</t>
  </si>
  <si>
    <t>2024-10-06 21</t>
  </si>
  <si>
    <t>2024-10-06 22</t>
  </si>
  <si>
    <t>2024-10-06 23</t>
  </si>
  <si>
    <t>2024-10-07 00</t>
  </si>
  <si>
    <t>2024-10-07 01</t>
  </si>
  <si>
    <t>2024-10-07 02</t>
  </si>
  <si>
    <t>2024-10-07 03</t>
  </si>
  <si>
    <t>2024-10-07 04</t>
  </si>
  <si>
    <t>2024-10-07 05</t>
  </si>
  <si>
    <t>2024-10-07 06</t>
  </si>
  <si>
    <t>2024-10-07 07</t>
  </si>
  <si>
    <t>2024-10-07 08</t>
  </si>
  <si>
    <t>2024-10-07 09</t>
  </si>
  <si>
    <t>2024-10-07 10</t>
  </si>
  <si>
    <t>2024-10-07 11</t>
  </si>
  <si>
    <t>2024-10-07 12</t>
  </si>
  <si>
    <t>2024-10-07 13</t>
  </si>
  <si>
    <t>2024-10-07 14</t>
  </si>
  <si>
    <t>2024-10-07 15</t>
  </si>
  <si>
    <t>2024-10-07 16</t>
  </si>
  <si>
    <t>2024-10-07 17</t>
  </si>
  <si>
    <t>2024-10-07 18</t>
  </si>
  <si>
    <t>2024-10-07 19</t>
  </si>
  <si>
    <t>2024-10-07 20</t>
  </si>
  <si>
    <t>2024-10-07 21</t>
  </si>
  <si>
    <t>2024-10-07 22</t>
  </si>
  <si>
    <t>2024-10-07 23</t>
  </si>
  <si>
    <t>2024-10-08 00</t>
  </si>
  <si>
    <t>2024-10-08 01</t>
  </si>
  <si>
    <t>2024-10-08 02</t>
  </si>
  <si>
    <t>2024-10-08 03</t>
  </si>
  <si>
    <t>2024-10-08 04</t>
  </si>
  <si>
    <t>2024-10-08 05</t>
  </si>
  <si>
    <t>2024-10-08 06</t>
  </si>
  <si>
    <t>2024-10-08 07</t>
  </si>
  <si>
    <t>2024-10-08 08</t>
  </si>
  <si>
    <t>2024-10-08 09</t>
  </si>
  <si>
    <t>2024-10-08 10</t>
  </si>
  <si>
    <t>2024-10-08 11</t>
  </si>
  <si>
    <t>2024-10-08 12</t>
  </si>
  <si>
    <t>2024-10-08 13</t>
  </si>
  <si>
    <t>2024-10-08 14</t>
  </si>
  <si>
    <t>2024-10-08 15</t>
  </si>
  <si>
    <t>2024-10-08 16</t>
  </si>
  <si>
    <t>2024-10-08 17</t>
  </si>
  <si>
    <t>2024-10-08 18</t>
  </si>
  <si>
    <t>2024-10-08 19</t>
  </si>
  <si>
    <t>2024-10-08 20</t>
  </si>
  <si>
    <t>2024-10-08 21</t>
  </si>
  <si>
    <t>2024-10-08 22</t>
  </si>
  <si>
    <t>2024-10-08 23</t>
  </si>
  <si>
    <t>2024-10-09 00</t>
  </si>
  <si>
    <t>2024-10-09 01</t>
  </si>
  <si>
    <t>2024-10-09 02</t>
  </si>
  <si>
    <t>2024-10-09 03</t>
  </si>
  <si>
    <t>2024-10-09 04</t>
  </si>
  <si>
    <t>2024-10-09 05</t>
  </si>
  <si>
    <t>2024-10-09 06</t>
  </si>
  <si>
    <t>2024-10-09 07</t>
  </si>
  <si>
    <t>2024-10-09 08</t>
  </si>
  <si>
    <t>2024-10-09 09</t>
  </si>
  <si>
    <t>2024-10-09 10</t>
  </si>
  <si>
    <t>2024-10-09 11</t>
  </si>
  <si>
    <t>2024-10-09 12</t>
  </si>
  <si>
    <t>2024-10-09 13</t>
  </si>
  <si>
    <t>2024-10-09 14</t>
  </si>
  <si>
    <t>2024-10-09 15</t>
  </si>
  <si>
    <t>2024-10-09 16</t>
  </si>
  <si>
    <t>2024-10-09 17</t>
  </si>
  <si>
    <t>2024-10-09 18</t>
  </si>
  <si>
    <t>2024-10-09 19</t>
  </si>
  <si>
    <t>2024-10-09 20</t>
  </si>
  <si>
    <t>2024-10-09 21</t>
  </si>
  <si>
    <t>2024-10-09 22</t>
  </si>
  <si>
    <t>2024-10-09 23</t>
  </si>
  <si>
    <t>2024-10-10 00</t>
  </si>
  <si>
    <t>2024-10-10 01</t>
  </si>
  <si>
    <t>2024-10-10 02</t>
  </si>
  <si>
    <t>2024-10-10 03</t>
  </si>
  <si>
    <t>2024-10-10 04</t>
  </si>
  <si>
    <t>2024-10-10 05</t>
  </si>
  <si>
    <t>2024-10-10 06</t>
  </si>
  <si>
    <t>2024-10-10 07</t>
  </si>
  <si>
    <t>2024-10-10 08</t>
  </si>
  <si>
    <t>2024-10-10 09</t>
  </si>
  <si>
    <t>2024-10-10 10</t>
  </si>
  <si>
    <t>2024-10-10 11</t>
  </si>
  <si>
    <t>2024-10-10 12</t>
  </si>
  <si>
    <t>2024-10-10 13</t>
  </si>
  <si>
    <t>2024-10-10 14</t>
  </si>
  <si>
    <t>2024-10-10 15</t>
  </si>
  <si>
    <t>2024-10-10 16</t>
  </si>
  <si>
    <t>2024-10-10 17</t>
  </si>
  <si>
    <t>2024-10-10 18</t>
  </si>
  <si>
    <t>2024-10-10 19</t>
  </si>
  <si>
    <t>2024-10-10 20</t>
  </si>
  <si>
    <t>2024-10-10 21</t>
  </si>
  <si>
    <t>2024-10-10 22</t>
  </si>
  <si>
    <t>2024-10-10 23</t>
  </si>
  <si>
    <t>2024-10-11 00</t>
  </si>
  <si>
    <t>2024-10-11 01</t>
  </si>
  <si>
    <t>2024-10-11 02</t>
  </si>
  <si>
    <t>2024-10-11 03</t>
  </si>
  <si>
    <t>2024-10-11 04</t>
  </si>
  <si>
    <t>2024-10-11 05</t>
  </si>
  <si>
    <t>2024-10-11 06</t>
  </si>
  <si>
    <t>2024-10-11 07</t>
  </si>
  <si>
    <t>2024-10-11 08</t>
  </si>
  <si>
    <t>2024-10-11 09</t>
  </si>
  <si>
    <t>2024-10-11 10</t>
  </si>
  <si>
    <t>2024-10-11 11</t>
  </si>
  <si>
    <t>2024-10-11 12</t>
  </si>
  <si>
    <t>2024-10-11 13</t>
  </si>
  <si>
    <t>2024-10-11 14</t>
  </si>
  <si>
    <t>2024-10-11 15</t>
  </si>
  <si>
    <t>2024-10-11 16</t>
  </si>
  <si>
    <t>2024-10-11 17</t>
  </si>
  <si>
    <t>2024-10-11 18</t>
  </si>
  <si>
    <t>2024-10-11 19</t>
  </si>
  <si>
    <t>2024-10-11 20</t>
  </si>
  <si>
    <t>2024-10-11 21</t>
  </si>
  <si>
    <t>2024-10-11 22</t>
  </si>
  <si>
    <t>2024-10-11 23</t>
  </si>
  <si>
    <t>2024-10-12 00</t>
  </si>
  <si>
    <t>2024-10-12 01</t>
  </si>
  <si>
    <t>2024-10-12 02</t>
  </si>
  <si>
    <t>2024-10-12 03</t>
  </si>
  <si>
    <t>2024-10-12 04</t>
  </si>
  <si>
    <t>2024-10-12 05</t>
  </si>
  <si>
    <t>2024-10-12 06</t>
  </si>
  <si>
    <t>2024-10-12 07</t>
  </si>
  <si>
    <t>2024-10-12 08</t>
  </si>
  <si>
    <t>2024-10-12 09</t>
  </si>
  <si>
    <t>2024-10-12 10</t>
  </si>
  <si>
    <t>2024-10-12 11</t>
  </si>
  <si>
    <t>2024-10-12 12</t>
  </si>
  <si>
    <t>2024-10-12 13</t>
  </si>
  <si>
    <t>2024-10-12 14</t>
  </si>
  <si>
    <t>2024-10-12 15</t>
  </si>
  <si>
    <t>2024-10-12 16</t>
  </si>
  <si>
    <t>2024-10-12 17</t>
  </si>
  <si>
    <t>2024-10-12 18</t>
  </si>
  <si>
    <t>2024-10-12 19</t>
  </si>
  <si>
    <t>2024-10-12 20</t>
  </si>
  <si>
    <t>2024-10-12 21</t>
  </si>
  <si>
    <t>2024-10-12 22</t>
  </si>
  <si>
    <t>2024-10-12 23</t>
  </si>
  <si>
    <t>2024-10-13 00</t>
  </si>
  <si>
    <t>2024-10-13 01</t>
  </si>
  <si>
    <t>2024-10-13 02</t>
  </si>
  <si>
    <t>2024-10-13 03</t>
  </si>
  <si>
    <t>2024-10-13 04</t>
  </si>
  <si>
    <t>2024-10-13 05</t>
  </si>
  <si>
    <t>2024-10-13 06</t>
  </si>
  <si>
    <t>2024-10-13 07</t>
  </si>
  <si>
    <t>2024-10-13 08</t>
  </si>
  <si>
    <t>2024-10-13 09</t>
  </si>
  <si>
    <t>2024-10-13 10</t>
  </si>
  <si>
    <t>2024-10-13 11</t>
  </si>
  <si>
    <t>2024-10-13 12</t>
  </si>
  <si>
    <t>2024-10-13 13</t>
  </si>
  <si>
    <t>2024-10-13 14</t>
  </si>
  <si>
    <t>2024-10-13 15</t>
  </si>
  <si>
    <t>2024-10-13 16</t>
  </si>
  <si>
    <t>2024-10-13 17</t>
  </si>
  <si>
    <t>2024-10-13 18</t>
  </si>
  <si>
    <t>2024-10-13 19</t>
  </si>
  <si>
    <t>2024-10-13 20</t>
  </si>
  <si>
    <t>2024-10-13 21</t>
  </si>
  <si>
    <t>2024-10-13 22</t>
  </si>
  <si>
    <t>2024-10-13 23</t>
  </si>
  <si>
    <t>2024-10-14 00</t>
  </si>
  <si>
    <t>2024-10-14 01</t>
  </si>
  <si>
    <t>2024-10-14 02</t>
  </si>
  <si>
    <t>2024-10-14 03</t>
  </si>
  <si>
    <t>2024-10-14 04</t>
  </si>
  <si>
    <t>2024-10-14 05</t>
  </si>
  <si>
    <t>2024-10-14 06</t>
  </si>
  <si>
    <t>2024-10-14 07</t>
  </si>
  <si>
    <t>2024-10-14 08</t>
  </si>
  <si>
    <t>2024-10-14 09</t>
  </si>
  <si>
    <t>2024-10-14 10</t>
  </si>
  <si>
    <t>2024-10-14 11</t>
  </si>
  <si>
    <t>2024-10-14 12</t>
  </si>
  <si>
    <t>2024-10-14 13</t>
  </si>
  <si>
    <t>2024-10-14 14</t>
  </si>
  <si>
    <t>2024-10-14 15</t>
  </si>
  <si>
    <t>2024-10-14 16</t>
  </si>
  <si>
    <t>2024-10-14 17</t>
  </si>
  <si>
    <t>2024-10-14 18</t>
  </si>
  <si>
    <t>2024-10-14 19</t>
  </si>
  <si>
    <t>2024-10-14 20</t>
  </si>
  <si>
    <t>2024-10-14 21</t>
  </si>
  <si>
    <t>2024-10-14 22</t>
  </si>
  <si>
    <t>2024-10-14 23</t>
  </si>
  <si>
    <t>2024-10-15 00</t>
  </si>
  <si>
    <t>2024-10-15 01</t>
  </si>
  <si>
    <t>2024-10-15 02</t>
  </si>
  <si>
    <t>2024-10-15 03</t>
  </si>
  <si>
    <t>2024-10-15 04</t>
  </si>
  <si>
    <t>2024-10-15 05</t>
  </si>
  <si>
    <t>2024-10-15 06</t>
  </si>
  <si>
    <t>2024-10-15 07</t>
  </si>
  <si>
    <t>2024-10-15 08</t>
  </si>
  <si>
    <t>2024-10-15 09</t>
  </si>
  <si>
    <t>2024-10-15 10</t>
  </si>
  <si>
    <t>2024-10-15 11</t>
  </si>
  <si>
    <t>2024-10-15 12</t>
  </si>
  <si>
    <t>2024-10-15 13</t>
  </si>
  <si>
    <t>2024-10-15 14</t>
  </si>
  <si>
    <t>2024-10-15 15</t>
  </si>
  <si>
    <t>2024-10-15 16</t>
  </si>
  <si>
    <t>2024-10-15 17</t>
  </si>
  <si>
    <t>2024-10-15 18</t>
  </si>
  <si>
    <t>2024-10-15 19</t>
  </si>
  <si>
    <t>2024-10-15 20</t>
  </si>
  <si>
    <t>2024-10-15 21</t>
  </si>
  <si>
    <t>2024-10-15 22</t>
  </si>
  <si>
    <t>2024-10-15 23</t>
  </si>
  <si>
    <t>2024-10-16 00</t>
  </si>
  <si>
    <t>2024-10-16 01</t>
  </si>
  <si>
    <t>2024-10-16 02</t>
  </si>
  <si>
    <t>2024-10-16 03</t>
  </si>
  <si>
    <t>2024-10-16 04</t>
  </si>
  <si>
    <t>2024-10-16 05</t>
  </si>
  <si>
    <t>2024-10-16 06</t>
  </si>
  <si>
    <t>2024-10-16 07</t>
  </si>
  <si>
    <t>2024-10-16 08</t>
  </si>
  <si>
    <t>2024-10-16 09</t>
  </si>
  <si>
    <t>2024-10-16 10</t>
  </si>
  <si>
    <t>2024-10-16 11</t>
  </si>
  <si>
    <t>2024-10-16 12</t>
  </si>
  <si>
    <t>2024-10-16 13</t>
  </si>
  <si>
    <t>2024-10-16 14</t>
  </si>
  <si>
    <t>2024-10-16 15</t>
  </si>
  <si>
    <t>2024-10-16 16</t>
  </si>
  <si>
    <t>2024-10-16 17</t>
  </si>
  <si>
    <t>2024-10-16 18</t>
  </si>
  <si>
    <t>2024-10-16 19</t>
  </si>
  <si>
    <t>2024-10-16 20</t>
  </si>
  <si>
    <t>2024-10-16 21</t>
  </si>
  <si>
    <t>2024-10-16 22</t>
  </si>
  <si>
    <t>2024-10-16 23</t>
  </si>
  <si>
    <t>2024-10-17 00</t>
  </si>
  <si>
    <t>2024-10-17 01</t>
  </si>
  <si>
    <t>2024-10-17 02</t>
  </si>
  <si>
    <t>2024-10-17 03</t>
  </si>
  <si>
    <t>2024-10-17 04</t>
  </si>
  <si>
    <t>2024-10-17 05</t>
  </si>
  <si>
    <t>2024-10-17 06</t>
  </si>
  <si>
    <t>2024-10-17 07</t>
  </si>
  <si>
    <t>2024-10-17 08</t>
  </si>
  <si>
    <t>2024-10-17 09</t>
  </si>
  <si>
    <t>2024-10-17 10</t>
  </si>
  <si>
    <t>2024-10-17 11</t>
  </si>
  <si>
    <t>2024-10-17 12</t>
  </si>
  <si>
    <t>2024-10-17 13</t>
  </si>
  <si>
    <t>2024-10-17 14</t>
  </si>
  <si>
    <t>2024-10-17 15</t>
  </si>
  <si>
    <t>2024-10-17 16</t>
  </si>
  <si>
    <t>2024-10-17 17</t>
  </si>
  <si>
    <t>2024-10-17 18</t>
  </si>
  <si>
    <t>2024-10-17 19</t>
  </si>
  <si>
    <t>2024-10-17 20</t>
  </si>
  <si>
    <t>2024-10-17 21</t>
  </si>
  <si>
    <t>2024-10-17 22</t>
  </si>
  <si>
    <t>2024-10-17 23</t>
  </si>
  <si>
    <t>2024-10-18 00</t>
  </si>
  <si>
    <t>2024-10-18 01</t>
  </si>
  <si>
    <t>2024-10-18 02</t>
  </si>
  <si>
    <t>2024-10-18 03</t>
  </si>
  <si>
    <t>2024-10-18 04</t>
  </si>
  <si>
    <t>2024-10-18 05</t>
  </si>
  <si>
    <t>2024-10-18 06</t>
  </si>
  <si>
    <t>2024-10-18 07</t>
  </si>
  <si>
    <t>2024-10-18 08</t>
  </si>
  <si>
    <t>2024-10-18 09</t>
  </si>
  <si>
    <t>2024-10-18 10</t>
  </si>
  <si>
    <t>2024-10-18 11</t>
  </si>
  <si>
    <t>2024-10-18 12</t>
  </si>
  <si>
    <t>2024-10-18 13</t>
  </si>
  <si>
    <t>2024-10-18 14</t>
  </si>
  <si>
    <t>2024-10-18 15</t>
  </si>
  <si>
    <t>2024-10-18 16</t>
  </si>
  <si>
    <t>2024-10-18 17</t>
  </si>
  <si>
    <t>2024-10-18 18</t>
  </si>
  <si>
    <t>2024-10-18 19</t>
  </si>
  <si>
    <t>2024-10-18 20</t>
  </si>
  <si>
    <t>2024-10-18 21</t>
  </si>
  <si>
    <t>2024-10-18 22</t>
  </si>
  <si>
    <t>2024-10-18 23</t>
  </si>
  <si>
    <t>2024-10-19 00</t>
  </si>
  <si>
    <t>2024-10-19 01</t>
  </si>
  <si>
    <t>2024-10-19 02</t>
  </si>
  <si>
    <t>2024-10-19 03</t>
  </si>
  <si>
    <t>2024-10-19 04</t>
  </si>
  <si>
    <t>2024-10-19 05</t>
  </si>
  <si>
    <t>2024-10-19 06</t>
  </si>
  <si>
    <t>2024-10-19 07</t>
  </si>
  <si>
    <t>2024-10-19 08</t>
  </si>
  <si>
    <t>2024-10-19 09</t>
  </si>
  <si>
    <t>2024-10-19 10</t>
  </si>
  <si>
    <t>2024-10-19 11</t>
  </si>
  <si>
    <t>2024-10-19 12</t>
  </si>
  <si>
    <t>2024-10-19 13</t>
  </si>
  <si>
    <t>2024-10-19 14</t>
  </si>
  <si>
    <t>2024-10-19 15</t>
  </si>
  <si>
    <t>2024-10-19 16</t>
  </si>
  <si>
    <t>2024-10-19 17</t>
  </si>
  <si>
    <t>2024-10-19 18</t>
  </si>
  <si>
    <t>2024-10-19 19</t>
  </si>
  <si>
    <t>2024-10-19 20</t>
  </si>
  <si>
    <t>2024-10-19 21</t>
  </si>
  <si>
    <t>2024-10-19 22</t>
  </si>
  <si>
    <t>2024-10-19 23</t>
  </si>
  <si>
    <t>2024-10-20 00</t>
  </si>
  <si>
    <t>2024-10-20 01</t>
  </si>
  <si>
    <t>2024-10-20 02</t>
  </si>
  <si>
    <t>2024-10-20 03</t>
  </si>
  <si>
    <t>2024-10-20 04</t>
  </si>
  <si>
    <t>2024-10-20 05</t>
  </si>
  <si>
    <t>2024-10-20 06</t>
  </si>
  <si>
    <t>2024-10-20 07</t>
  </si>
  <si>
    <t>2024-10-20 08</t>
  </si>
  <si>
    <t>2024-10-20 09</t>
  </si>
  <si>
    <t>2024-10-20 10</t>
  </si>
  <si>
    <t>2024-10-20 11</t>
  </si>
  <si>
    <t>2024-10-20 12</t>
  </si>
  <si>
    <t>2024-10-20 13</t>
  </si>
  <si>
    <t>2024-10-20 14</t>
  </si>
  <si>
    <t>2024-10-20 15</t>
  </si>
  <si>
    <t>2024-10-20 16</t>
  </si>
  <si>
    <t>2024-10-20 17</t>
  </si>
  <si>
    <t>2024-10-20 18</t>
  </si>
  <si>
    <t>2024-10-20 19</t>
  </si>
  <si>
    <t>2024-10-20 20</t>
  </si>
  <si>
    <t>2024-10-20 21</t>
  </si>
  <si>
    <t>2024-10-20 22</t>
  </si>
  <si>
    <t>2024-10-20 23</t>
  </si>
  <si>
    <t>2024-10-21 00</t>
  </si>
  <si>
    <t>2024-10-21 01</t>
  </si>
  <si>
    <t>2024-10-21 02</t>
  </si>
  <si>
    <t>2024-10-21 03</t>
  </si>
  <si>
    <t>2024-10-21 04</t>
  </si>
  <si>
    <t>2024-10-21 05</t>
  </si>
  <si>
    <t>2024-10-21 06</t>
  </si>
  <si>
    <t>2024-10-21 07</t>
  </si>
  <si>
    <t>2024-10-21 08</t>
  </si>
  <si>
    <t>2024-10-21 09</t>
  </si>
  <si>
    <t>2024-10-21 10</t>
  </si>
  <si>
    <t>2024-10-21 11</t>
  </si>
  <si>
    <t>2024-10-21 12</t>
  </si>
  <si>
    <t>2024-10-21 13</t>
  </si>
  <si>
    <t>2024-10-21 14</t>
  </si>
  <si>
    <t>2024-10-21 15</t>
  </si>
  <si>
    <t>2024-10-21 16</t>
  </si>
  <si>
    <t>2024-10-21 17</t>
  </si>
  <si>
    <t>2024-10-21 18</t>
  </si>
  <si>
    <t>2024-10-21 19</t>
  </si>
  <si>
    <t>2024-10-21 20</t>
  </si>
  <si>
    <t>2024-10-21 21</t>
  </si>
  <si>
    <t>2024-10-21 22</t>
  </si>
  <si>
    <t>2024-10-21 23</t>
  </si>
  <si>
    <t>2024-10-22 00</t>
  </si>
  <si>
    <t>2024-10-22 01</t>
  </si>
  <si>
    <t>2024-10-22 02</t>
  </si>
  <si>
    <t>2024-10-22 03</t>
  </si>
  <si>
    <t>2024-10-22 04</t>
  </si>
  <si>
    <t>2024-10-22 05</t>
  </si>
  <si>
    <t>2024-10-22 06</t>
  </si>
  <si>
    <t>2024-10-22 07</t>
  </si>
  <si>
    <t>2024-10-22 08</t>
  </si>
  <si>
    <t>2024-10-22 09</t>
  </si>
  <si>
    <t>2024-10-22 10</t>
  </si>
  <si>
    <t>2024-10-22 11</t>
  </si>
  <si>
    <t>2024-10-22 12</t>
  </si>
  <si>
    <t>2024-10-22 13</t>
  </si>
  <si>
    <t>2024-10-22 14</t>
  </si>
  <si>
    <t>2024-10-22 15</t>
  </si>
  <si>
    <t>2024-10-22 16</t>
  </si>
  <si>
    <t>2024-10-22 17</t>
  </si>
  <si>
    <t>2024-10-22 18</t>
  </si>
  <si>
    <t>2024-10-22 19</t>
  </si>
  <si>
    <t>2024-10-22 20</t>
  </si>
  <si>
    <t>2024-10-22 21</t>
  </si>
  <si>
    <t>2024-10-22 22</t>
  </si>
  <si>
    <t>2024-10-22 23</t>
  </si>
  <si>
    <t>2024-10-23 00</t>
  </si>
  <si>
    <t>2024-10-23 01</t>
  </si>
  <si>
    <t>2024-10-23 02</t>
  </si>
  <si>
    <t>2024-10-23 03</t>
  </si>
  <si>
    <t>2024-10-23 04</t>
  </si>
  <si>
    <t>2024-10-23 05</t>
  </si>
  <si>
    <t>2024-10-23 06</t>
  </si>
  <si>
    <t>2024-10-23 07</t>
  </si>
  <si>
    <t>2024-10-23 08</t>
  </si>
  <si>
    <t>2024-10-23 09</t>
  </si>
  <si>
    <t>2024-10-23 10</t>
  </si>
  <si>
    <t>2024-10-23 11</t>
  </si>
  <si>
    <t>2024-10-23 12</t>
  </si>
  <si>
    <t>2024-10-23 13</t>
  </si>
  <si>
    <t>2024-10-23 14</t>
  </si>
  <si>
    <t>2024-10-23 15</t>
  </si>
  <si>
    <t>2024-10-23 16</t>
  </si>
  <si>
    <t>2024-10-23 17</t>
  </si>
  <si>
    <t>2024-10-23 18</t>
  </si>
  <si>
    <t>2024-10-23 19</t>
  </si>
  <si>
    <t>2024-10-23 20</t>
  </si>
  <si>
    <t>2024-10-23 21</t>
  </si>
  <si>
    <t>2024-10-23 22</t>
  </si>
  <si>
    <t>2024-10-23 23</t>
  </si>
  <si>
    <t>2024-10-24 00</t>
  </si>
  <si>
    <t>2024-10-24 01</t>
  </si>
  <si>
    <t>2024-10-24 02</t>
  </si>
  <si>
    <t>2024-10-24 03</t>
  </si>
  <si>
    <t>2024-10-24 04</t>
  </si>
  <si>
    <t>2024-10-24 05</t>
  </si>
  <si>
    <t>2024-10-24 06</t>
  </si>
  <si>
    <t>2024-10-24 07</t>
  </si>
  <si>
    <t>2024-10-24 08</t>
  </si>
  <si>
    <t>2024-10-24 09</t>
  </si>
  <si>
    <t>2024-10-24 10</t>
  </si>
  <si>
    <t>2024-10-24 11</t>
  </si>
  <si>
    <t>2024-10-24 12</t>
  </si>
  <si>
    <t>2024-10-24 13</t>
  </si>
  <si>
    <t>2024-10-24 14</t>
  </si>
  <si>
    <t>2024-10-24 15</t>
  </si>
  <si>
    <t>2024-10-24 16</t>
  </si>
  <si>
    <t>2024-10-24 17</t>
  </si>
  <si>
    <t>2024-10-24 18</t>
  </si>
  <si>
    <t>2024-10-24 19</t>
  </si>
  <si>
    <t>2024-10-24 20</t>
  </si>
  <si>
    <t>2024-10-24 21</t>
  </si>
  <si>
    <t>2024-10-24 22</t>
  </si>
  <si>
    <t>2024-10-24 23</t>
  </si>
  <si>
    <t>2024-10-25 00</t>
  </si>
  <si>
    <t>2024-10-25 01</t>
  </si>
  <si>
    <t>2024-10-25 02</t>
  </si>
  <si>
    <t>2024-10-25 03</t>
  </si>
  <si>
    <t>2024-10-25 04</t>
  </si>
  <si>
    <t>2024-10-25 05</t>
  </si>
  <si>
    <t>2024-10-25 06</t>
  </si>
  <si>
    <t>2024-10-25 07</t>
  </si>
  <si>
    <t>2024-10-25 08</t>
  </si>
  <si>
    <t>2024-10-25 09</t>
  </si>
  <si>
    <t>2024-10-25 10</t>
  </si>
  <si>
    <t>2024-10-25 11</t>
  </si>
  <si>
    <t>2024-10-25 12</t>
  </si>
  <si>
    <t>2024-10-25 13</t>
  </si>
  <si>
    <t>2024-10-25 14</t>
  </si>
  <si>
    <t>2024-10-25 15</t>
  </si>
  <si>
    <t>2024-10-25 16</t>
  </si>
  <si>
    <t>2024-10-25 17</t>
  </si>
  <si>
    <t>2024-10-25 18</t>
  </si>
  <si>
    <t>2024-10-25 19</t>
  </si>
  <si>
    <t>2024-10-25 20</t>
  </si>
  <si>
    <t>2024-10-25 21</t>
  </si>
  <si>
    <t>2024-10-25 22</t>
  </si>
  <si>
    <t>2024-10-25 23</t>
  </si>
  <si>
    <t>2024-10-26 00</t>
  </si>
  <si>
    <t>2024-10-26 01</t>
  </si>
  <si>
    <t>2024-10-26 02</t>
  </si>
  <si>
    <t>2024-10-26 03</t>
  </si>
  <si>
    <t>2024-10-26 04</t>
  </si>
  <si>
    <t>2024-10-26 05</t>
  </si>
  <si>
    <t>2024-10-26 06</t>
  </si>
  <si>
    <t>2024-10-26 07</t>
  </si>
  <si>
    <t>2024-10-26 08</t>
  </si>
  <si>
    <t>2024-10-26 09</t>
  </si>
  <si>
    <t>2024-10-26 10</t>
  </si>
  <si>
    <t>2024-10-26 11</t>
  </si>
  <si>
    <t>2024-10-26 12</t>
  </si>
  <si>
    <t>2024-10-26 13</t>
  </si>
  <si>
    <t>2024-10-26 14</t>
  </si>
  <si>
    <t>2024-10-26 15</t>
  </si>
  <si>
    <t>2024-10-26 16</t>
  </si>
  <si>
    <t>2024-10-26 17</t>
  </si>
  <si>
    <t>2024-10-26 18</t>
  </si>
  <si>
    <t>2024-10-26 19</t>
  </si>
  <si>
    <t>2024-10-26 20</t>
  </si>
  <si>
    <t>2024-10-26 21</t>
  </si>
  <si>
    <t>2024-10-26 22</t>
  </si>
  <si>
    <t>2024-10-26 23</t>
  </si>
  <si>
    <t>2024-10-27 00</t>
  </si>
  <si>
    <t>2024-10-27 01</t>
  </si>
  <si>
    <t>2024-10-27 02</t>
  </si>
  <si>
    <t>2024-10-27 03</t>
  </si>
  <si>
    <t>2024-10-27 04</t>
  </si>
  <si>
    <t>2024-10-27 05</t>
  </si>
  <si>
    <t>2024-10-27 06</t>
  </si>
  <si>
    <t>2024-10-27 07</t>
  </si>
  <si>
    <t>2024-10-27 08</t>
  </si>
  <si>
    <t>2024-10-27 09</t>
  </si>
  <si>
    <t>2024-10-27 10</t>
  </si>
  <si>
    <t>2024-10-27 11</t>
  </si>
  <si>
    <t>2024-10-27 12</t>
  </si>
  <si>
    <t>2024-10-27 13</t>
  </si>
  <si>
    <t>2024-10-27 14</t>
  </si>
  <si>
    <t>2024-10-27 15</t>
  </si>
  <si>
    <t>2024-10-27 16</t>
  </si>
  <si>
    <t>2024-10-27 17</t>
  </si>
  <si>
    <t>2024-10-27 18</t>
  </si>
  <si>
    <t>2024-10-27 19</t>
  </si>
  <si>
    <t>2024-10-27 20</t>
  </si>
  <si>
    <t>2024-10-27 21</t>
  </si>
  <si>
    <t>2024-10-27 22</t>
  </si>
  <si>
    <t>2024-10-27 23</t>
  </si>
  <si>
    <t>2024-10-28 00</t>
  </si>
  <si>
    <t>2024-10-28 01</t>
  </si>
  <si>
    <t>2024-10-28 02</t>
  </si>
  <si>
    <t>2024-10-28 03</t>
  </si>
  <si>
    <t>2024-10-28 04</t>
  </si>
  <si>
    <t>2024-10-28 05</t>
  </si>
  <si>
    <t>2024-10-28 06</t>
  </si>
  <si>
    <t>2024-10-28 07</t>
  </si>
  <si>
    <t>2024-10-28 08</t>
  </si>
  <si>
    <t>2024-10-28 09</t>
  </si>
  <si>
    <t>2024-10-28 10</t>
  </si>
  <si>
    <t>2024-10-28 11</t>
  </si>
  <si>
    <t>2024-10-28 12</t>
  </si>
  <si>
    <t>2024-10-28 13</t>
  </si>
  <si>
    <t>2024-10-28 14</t>
  </si>
  <si>
    <t>2024-10-28 15</t>
  </si>
  <si>
    <t>2024-10-28 16</t>
  </si>
  <si>
    <t>2024-10-28 17</t>
  </si>
  <si>
    <t>2024-10-28 18</t>
  </si>
  <si>
    <t>2024-10-28 19</t>
  </si>
  <si>
    <t>2024-10-28 20</t>
  </si>
  <si>
    <t>2024-10-28 21</t>
  </si>
  <si>
    <t>2024-10-28 22</t>
  </si>
  <si>
    <t>2024-10-28 23</t>
  </si>
  <si>
    <t>2024-10-29 00</t>
  </si>
  <si>
    <t>2024-10-29 01</t>
  </si>
  <si>
    <t>2024-10-29 02</t>
  </si>
  <si>
    <t>2024-10-29 03</t>
  </si>
  <si>
    <t>2024-10-29 04</t>
  </si>
  <si>
    <t>2024-10-29 05</t>
  </si>
  <si>
    <t>2024-10-29 06</t>
  </si>
  <si>
    <t>2024-10-29 07</t>
  </si>
  <si>
    <t>2024-10-29 08</t>
  </si>
  <si>
    <t>2024-10-29 09</t>
  </si>
  <si>
    <t>2024-10-29 10</t>
  </si>
  <si>
    <t>2024-10-29 11</t>
  </si>
  <si>
    <t>2024-10-29 12</t>
  </si>
  <si>
    <t>2024-10-29 13</t>
  </si>
  <si>
    <t>2024-10-29 14</t>
  </si>
  <si>
    <t>2024-10-29 15</t>
  </si>
  <si>
    <t>2024-10-29 16</t>
  </si>
  <si>
    <t>2024-10-29 17</t>
  </si>
  <si>
    <t>2024-10-29 18</t>
  </si>
  <si>
    <t>2024-10-29 19</t>
  </si>
  <si>
    <t>2024-10-29 20</t>
  </si>
  <si>
    <t>2024-10-29 21</t>
  </si>
  <si>
    <t>2024-10-29 22</t>
  </si>
  <si>
    <t>2024-10-29 23</t>
  </si>
  <si>
    <t>2024-10-30 00</t>
  </si>
  <si>
    <t>2024-10-30 01</t>
  </si>
  <si>
    <t>2024-10-30 02</t>
  </si>
  <si>
    <t>2024-10-30 03</t>
  </si>
  <si>
    <t>2024-10-30 04</t>
  </si>
  <si>
    <t>2024-10-30 05</t>
  </si>
  <si>
    <t>2024-10-30 06</t>
  </si>
  <si>
    <t>2024-10-30 07</t>
  </si>
  <si>
    <t>2024-10-30 08</t>
  </si>
  <si>
    <t>2024-10-30 09</t>
  </si>
  <si>
    <t>2024-10-30 10</t>
  </si>
  <si>
    <t>2024-10-30 11</t>
  </si>
  <si>
    <t>2024-10-30 12</t>
  </si>
  <si>
    <t>2024-10-30 13</t>
  </si>
  <si>
    <t>2024-10-30 14</t>
  </si>
  <si>
    <t>2024-10-30 15</t>
  </si>
  <si>
    <t>2024-10-30 16</t>
  </si>
  <si>
    <t>2024-10-30 17</t>
  </si>
  <si>
    <t>2024-10-30 18</t>
  </si>
  <si>
    <t>2024-10-30 19</t>
  </si>
  <si>
    <t>2024-10-30 20</t>
  </si>
  <si>
    <t>2024-10-30 21</t>
  </si>
  <si>
    <t>2024-10-30 22</t>
  </si>
  <si>
    <t>2024-10-30 23</t>
  </si>
  <si>
    <t>2024-10-31 00</t>
  </si>
  <si>
    <t>2024-10-31 01</t>
  </si>
  <si>
    <t>2024-10-31 02</t>
  </si>
  <si>
    <t>2024-10-31 03</t>
  </si>
  <si>
    <t>2024-10-31 04</t>
  </si>
  <si>
    <t>2024-10-31 05</t>
  </si>
  <si>
    <t>2024-10-31 06</t>
  </si>
  <si>
    <t>2024-10-31 07</t>
  </si>
  <si>
    <t>2024-10-31 08</t>
  </si>
  <si>
    <t>2024-10-31 09</t>
  </si>
  <si>
    <t>2024-10-31 10</t>
  </si>
  <si>
    <t>2024-10-31 11</t>
  </si>
  <si>
    <t>2024-10-31 12</t>
  </si>
  <si>
    <t>2024-10-31 13</t>
  </si>
  <si>
    <t>2024-10-31 14</t>
  </si>
  <si>
    <t>2024-10-31 15</t>
  </si>
  <si>
    <t>2024-10-31 16</t>
  </si>
  <si>
    <t>2024-10-31 17</t>
  </si>
  <si>
    <t>2024-10-31 18</t>
  </si>
  <si>
    <t>2024-10-31 19</t>
  </si>
  <si>
    <t>2024-10-31 20</t>
  </si>
  <si>
    <t>2024-10-31 21</t>
  </si>
  <si>
    <t>2024-10-31 22</t>
  </si>
  <si>
    <t>2024-10-31 23</t>
  </si>
  <si>
    <t>Время</t>
  </si>
  <si>
    <t>Итого</t>
  </si>
  <si>
    <t>Названия строк</t>
  </si>
  <si>
    <t>Сумма по полю Кол-во</t>
  </si>
  <si>
    <t>Общий итог</t>
  </si>
  <si>
    <t>ЧАС ПИКОВОЙ НАГРУЗКИ</t>
  </si>
  <si>
    <t>4 самые высоконагруженные операции</t>
  </si>
  <si>
    <t>Интенсивность операций в час</t>
  </si>
  <si>
    <t>% от общего числа всех операций</t>
  </si>
  <si>
    <t>Количество рабочих дней:</t>
  </si>
  <si>
    <t>Общее число операций:</t>
  </si>
  <si>
    <t>% от общего числа операций в ЧПН</t>
  </si>
  <si>
    <t>Общее кол-во транзакций прошедших за полный месяц</t>
  </si>
  <si>
    <t>Общее число операций в ЧПН</t>
  </si>
  <si>
    <t>Текущий релиз</t>
  </si>
  <si>
    <t>Предыдущий релиз</t>
  </si>
  <si>
    <t>% отклонения от предыдущего релиза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</si>
</sst>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  <numFmt numFmtId="181" formatCode="hh:mm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medium">
        <color theme="4"/>
      </left>
      <right style="thin">
        <color auto="1"/>
      </right>
      <top style="medium">
        <color theme="4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medium">
        <color theme="4"/>
      </top>
      <bottom style="medium">
        <color theme="4"/>
      </bottom>
      <diagonal/>
    </border>
    <border>
      <left style="thin">
        <color auto="1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/>
      </left>
      <right style="thin">
        <color auto="1"/>
      </right>
      <top style="medium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4"/>
      </top>
      <bottom style="thin">
        <color auto="1"/>
      </bottom>
      <diagonal/>
    </border>
    <border>
      <left style="thin">
        <color auto="1"/>
      </left>
      <right style="medium">
        <color theme="4"/>
      </right>
      <top style="medium">
        <color theme="4"/>
      </top>
      <bottom style="thin">
        <color auto="1"/>
      </bottom>
      <diagonal/>
    </border>
    <border>
      <left style="medium">
        <color theme="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4"/>
      </right>
      <top style="thin">
        <color auto="1"/>
      </top>
      <bottom style="thin">
        <color auto="1"/>
      </bottom>
      <diagonal/>
    </border>
    <border>
      <left style="medium">
        <color theme="4"/>
      </left>
      <right style="thin">
        <color auto="1"/>
      </right>
      <top style="thin">
        <color auto="1"/>
      </top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/>
      </bottom>
      <diagonal/>
    </border>
    <border>
      <left style="thin">
        <color auto="1"/>
      </left>
      <right style="medium">
        <color theme="4"/>
      </right>
      <top style="thin">
        <color auto="1"/>
      </top>
      <bottom style="medium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theme="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4"/>
      </right>
      <top style="thin">
        <color auto="1"/>
      </top>
      <bottom/>
      <diagonal/>
    </border>
    <border>
      <left style="medium">
        <color theme="4"/>
      </left>
      <right/>
      <top style="thin">
        <color auto="1"/>
      </top>
      <bottom style="medium">
        <color theme="4"/>
      </bottom>
      <diagonal/>
    </border>
    <border>
      <left/>
      <right style="medium">
        <color theme="4"/>
      </right>
      <top style="thin">
        <color auto="1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auto="1"/>
      </left>
      <right style="thin">
        <color theme="4" tint="-0.249977111117893"/>
      </right>
      <top style="medium">
        <color auto="1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auto="1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auto="1"/>
      </right>
      <top style="medium">
        <color auto="1"/>
      </top>
      <bottom style="thin">
        <color theme="4" tint="-0.249977111117893"/>
      </bottom>
      <diagonal/>
    </border>
    <border>
      <left style="medium">
        <color theme="4"/>
      </left>
      <right style="thin">
        <color theme="4" tint="-0.249977111117893"/>
      </right>
      <top style="medium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/>
      </right>
      <top style="medium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medium">
        <color auto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medium">
        <color auto="1"/>
      </bottom>
      <diagonal/>
    </border>
    <border>
      <left style="thin">
        <color theme="4" tint="-0.249977111117893"/>
      </left>
      <right style="medium">
        <color auto="1"/>
      </right>
      <top style="thin">
        <color theme="4" tint="-0.249977111117893"/>
      </top>
      <bottom style="medium">
        <color auto="1"/>
      </bottom>
      <diagonal/>
    </border>
    <border>
      <left style="medium">
        <color theme="4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/>
      </left>
      <right style="thin">
        <color theme="4" tint="-0.249977111117893"/>
      </right>
      <top style="thin">
        <color theme="4" tint="-0.249977111117893"/>
      </top>
      <bottom style="medium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medium">
        <color theme="4"/>
      </bottom>
      <diagonal/>
    </border>
    <border>
      <left style="thin">
        <color theme="4" tint="-0.249977111117893"/>
      </left>
      <right style="medium">
        <color theme="4"/>
      </right>
      <top style="thin">
        <color theme="4" tint="-0.249977111117893"/>
      </top>
      <bottom style="medium">
        <color theme="4"/>
      </bottom>
      <diagonal/>
    </border>
    <border>
      <left style="medium">
        <color theme="4"/>
      </left>
      <right style="thin">
        <color theme="4" tint="-0.249977111117893"/>
      </right>
      <top style="medium">
        <color theme="4"/>
      </top>
      <bottom/>
      <diagonal/>
    </border>
    <border>
      <left style="thin">
        <color theme="4" tint="-0.249977111117893"/>
      </left>
      <right style="medium">
        <color theme="4"/>
      </right>
      <top style="medium">
        <color theme="4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4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/>
      </right>
      <top/>
      <bottom style="thin">
        <color theme="4" tint="-0.249977111117893"/>
      </bottom>
      <diagonal/>
    </border>
    <border>
      <left style="medium">
        <color theme="4"/>
      </left>
      <right style="thin">
        <color theme="4" tint="-0.249977111117893"/>
      </right>
      <top style="medium">
        <color theme="4"/>
      </top>
      <bottom style="medium">
        <color theme="4"/>
      </bottom>
      <diagonal/>
    </border>
    <border>
      <left style="thin">
        <color theme="4" tint="-0.249977111117893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 style="thin">
        <color theme="4" tint="-0.249977111117893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 tint="-0.249977111117893"/>
      </right>
      <top/>
      <bottom style="medium">
        <color theme="4"/>
      </bottom>
      <diagonal/>
    </border>
    <border>
      <left style="thin">
        <color theme="4" tint="-0.249977111117893"/>
      </left>
      <right style="medium">
        <color theme="4"/>
      </right>
      <top/>
      <bottom style="medium">
        <color theme="4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6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8" applyNumberFormat="0" applyFill="0" applyAlignment="0" applyProtection="0">
      <alignment vertical="center"/>
    </xf>
    <xf numFmtId="0" fontId="10" fillId="0" borderId="68" applyNumberFormat="0" applyFill="0" applyAlignment="0" applyProtection="0">
      <alignment vertical="center"/>
    </xf>
    <xf numFmtId="0" fontId="11" fillId="0" borderId="6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70" applyNumberFormat="0" applyAlignment="0" applyProtection="0">
      <alignment vertical="center"/>
    </xf>
    <xf numFmtId="0" fontId="13" fillId="12" borderId="71" applyNumberFormat="0" applyAlignment="0" applyProtection="0">
      <alignment vertical="center"/>
    </xf>
    <xf numFmtId="0" fontId="14" fillId="12" borderId="70" applyNumberFormat="0" applyAlignment="0" applyProtection="0">
      <alignment vertical="center"/>
    </xf>
    <xf numFmtId="0" fontId="15" fillId="13" borderId="72" applyNumberFormat="0" applyAlignment="0" applyProtection="0">
      <alignment vertical="center"/>
    </xf>
    <xf numFmtId="0" fontId="16" fillId="0" borderId="73" applyNumberFormat="0" applyFill="0" applyAlignment="0" applyProtection="0">
      <alignment vertical="center"/>
    </xf>
    <xf numFmtId="0" fontId="17" fillId="0" borderId="74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/>
    </xf>
    <xf numFmtId="0" fontId="2" fillId="4" borderId="7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0" fontId="0" fillId="0" borderId="0" xfId="0" applyFont="1"/>
    <xf numFmtId="0" fontId="2" fillId="4" borderId="9" xfId="0" applyFont="1" applyFill="1" applyBorder="1" applyAlignment="1">
      <alignment horizontal="left"/>
    </xf>
    <xf numFmtId="0" fontId="2" fillId="4" borderId="10" xfId="0" applyNumberFormat="1" applyFont="1" applyFill="1" applyBorder="1" applyAlignment="1">
      <alignment horizontal="center" vertical="center"/>
    </xf>
    <xf numFmtId="1" fontId="2" fillId="4" borderId="10" xfId="0" applyNumberFormat="1" applyFont="1" applyFill="1" applyBorder="1" applyAlignment="1">
      <alignment horizontal="center" vertical="center"/>
    </xf>
    <xf numFmtId="2" fontId="2" fillId="4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/>
    </xf>
    <xf numFmtId="0" fontId="2" fillId="4" borderId="13" xfId="0" applyNumberFormat="1" applyFont="1" applyFill="1" applyBorder="1" applyAlignment="1">
      <alignment horizontal="center" vertical="center"/>
    </xf>
    <xf numFmtId="1" fontId="2" fillId="4" borderId="13" xfId="0" applyNumberFormat="1" applyFont="1" applyFill="1" applyBorder="1" applyAlignment="1">
      <alignment horizontal="center" vertical="center"/>
    </xf>
    <xf numFmtId="2" fontId="2" fillId="4" borderId="14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right" vertical="center" wrapText="1"/>
    </xf>
    <xf numFmtId="0" fontId="2" fillId="4" borderId="8" xfId="0" applyNumberFormat="1" applyFont="1" applyFill="1" applyBorder="1"/>
    <xf numFmtId="1" fontId="2" fillId="5" borderId="6" xfId="0" applyNumberFormat="1" applyFont="1" applyFill="1" applyBorder="1" applyAlignment="1">
      <alignment horizontal="center" vertical="center"/>
    </xf>
    <xf numFmtId="1" fontId="2" fillId="6" borderId="8" xfId="0" applyNumberFormat="1" applyFont="1" applyFill="1" applyBorder="1" applyAlignment="1">
      <alignment horizontal="center" vertical="center"/>
    </xf>
    <xf numFmtId="0" fontId="2" fillId="4" borderId="11" xfId="0" applyNumberFormat="1" applyFont="1" applyFill="1" applyBorder="1"/>
    <xf numFmtId="1" fontId="2" fillId="5" borderId="9" xfId="0" applyNumberFormat="1" applyFont="1" applyFill="1" applyBorder="1" applyAlignment="1">
      <alignment horizontal="center" vertical="center"/>
    </xf>
    <xf numFmtId="1" fontId="2" fillId="6" borderId="11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/>
    <xf numFmtId="1" fontId="2" fillId="5" borderId="18" xfId="0" applyNumberFormat="1" applyFont="1" applyFill="1" applyBorder="1" applyAlignment="1">
      <alignment horizontal="center" vertical="center"/>
    </xf>
    <xf numFmtId="1" fontId="2" fillId="6" borderId="19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2" borderId="22" xfId="0" applyFont="1" applyFill="1" applyBorder="1"/>
    <xf numFmtId="0" fontId="2" fillId="2" borderId="23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/>
    </xf>
    <xf numFmtId="0" fontId="2" fillId="2" borderId="23" xfId="0" applyNumberFormat="1" applyFont="1" applyFill="1" applyBorder="1"/>
    <xf numFmtId="0" fontId="1" fillId="3" borderId="24" xfId="0" applyFont="1" applyFill="1" applyBorder="1" applyAlignment="1">
      <alignment horizontal="right" vertical="center"/>
    </xf>
    <xf numFmtId="0" fontId="1" fillId="3" borderId="25" xfId="0" applyFont="1" applyFill="1" applyBorder="1" applyAlignment="1">
      <alignment horizontal="right" vertical="center"/>
    </xf>
    <xf numFmtId="0" fontId="0" fillId="3" borderId="26" xfId="0" applyFont="1" applyFill="1" applyBorder="1" applyAlignment="1">
      <alignment horizontal="left" vertical="center"/>
    </xf>
    <xf numFmtId="0" fontId="2" fillId="4" borderId="27" xfId="0" applyFont="1" applyFill="1" applyBorder="1" applyAlignment="1">
      <alignment horizontal="left"/>
    </xf>
    <xf numFmtId="0" fontId="2" fillId="4" borderId="28" xfId="0" applyNumberFormat="1" applyFont="1" applyFill="1" applyBorder="1" applyAlignment="1">
      <alignment horizontal="left"/>
    </xf>
    <xf numFmtId="1" fontId="2" fillId="4" borderId="28" xfId="0" applyNumberFormat="1" applyFont="1" applyFill="1" applyBorder="1" applyAlignment="1">
      <alignment horizontal="left"/>
    </xf>
    <xf numFmtId="180" fontId="2" fillId="4" borderId="29" xfId="0" applyNumberFormat="1" applyFont="1" applyFill="1" applyBorder="1" applyAlignment="1">
      <alignment horizontal="left"/>
    </xf>
    <xf numFmtId="0" fontId="1" fillId="3" borderId="30" xfId="0" applyFont="1" applyFill="1" applyBorder="1" applyAlignment="1">
      <alignment horizontal="right"/>
    </xf>
    <xf numFmtId="0" fontId="1" fillId="3" borderId="31" xfId="0" applyFont="1" applyFill="1" applyBorder="1" applyAlignment="1">
      <alignment horizontal="right"/>
    </xf>
    <xf numFmtId="0" fontId="2" fillId="3" borderId="32" xfId="0" applyFont="1" applyFill="1" applyBorder="1" applyAlignment="1">
      <alignment horizontal="left"/>
    </xf>
    <xf numFmtId="0" fontId="2" fillId="4" borderId="33" xfId="0" applyFont="1" applyFill="1" applyBorder="1" applyAlignment="1">
      <alignment horizontal="left"/>
    </xf>
    <xf numFmtId="0" fontId="2" fillId="4" borderId="34" xfId="0" applyNumberFormat="1" applyFont="1" applyFill="1" applyBorder="1" applyAlignment="1">
      <alignment horizontal="left"/>
    </xf>
    <xf numFmtId="1" fontId="2" fillId="4" borderId="34" xfId="0" applyNumberFormat="1" applyFont="1" applyFill="1" applyBorder="1" applyAlignment="1">
      <alignment horizontal="left"/>
    </xf>
    <xf numFmtId="180" fontId="2" fillId="4" borderId="35" xfId="0" applyNumberFormat="1" applyFont="1" applyFill="1" applyBorder="1" applyAlignment="1">
      <alignment horizontal="left"/>
    </xf>
    <xf numFmtId="0" fontId="2" fillId="4" borderId="36" xfId="0" applyFont="1" applyFill="1" applyBorder="1" applyAlignment="1">
      <alignment horizontal="left"/>
    </xf>
    <xf numFmtId="0" fontId="2" fillId="4" borderId="37" xfId="0" applyNumberFormat="1" applyFont="1" applyFill="1" applyBorder="1" applyAlignment="1">
      <alignment horizontal="left"/>
    </xf>
    <xf numFmtId="1" fontId="2" fillId="4" borderId="37" xfId="0" applyNumberFormat="1" applyFont="1" applyFill="1" applyBorder="1" applyAlignment="1">
      <alignment horizontal="left"/>
    </xf>
    <xf numFmtId="180" fontId="2" fillId="4" borderId="38" xfId="0" applyNumberFormat="1" applyFont="1" applyFill="1" applyBorder="1" applyAlignment="1">
      <alignment horizontal="left"/>
    </xf>
    <xf numFmtId="0" fontId="0" fillId="0" borderId="0" xfId="0" applyFont="1" applyBorder="1"/>
    <xf numFmtId="0" fontId="2" fillId="0" borderId="39" xfId="0" applyFont="1" applyBorder="1"/>
    <xf numFmtId="0" fontId="2" fillId="0" borderId="40" xfId="0" applyFont="1" applyBorder="1"/>
    <xf numFmtId="0" fontId="0" fillId="8" borderId="41" xfId="0" applyFont="1" applyFill="1" applyBorder="1" applyAlignment="1">
      <alignment horizontal="left"/>
    </xf>
    <xf numFmtId="0" fontId="0" fillId="8" borderId="42" xfId="0" applyNumberFormat="1" applyFont="1" applyFill="1" applyBorder="1"/>
    <xf numFmtId="0" fontId="2" fillId="8" borderId="43" xfId="0" applyFont="1" applyFill="1" applyBorder="1" applyAlignment="1">
      <alignment horizontal="center"/>
    </xf>
    <xf numFmtId="0" fontId="2" fillId="8" borderId="44" xfId="0" applyFont="1" applyFill="1" applyBorder="1" applyAlignment="1">
      <alignment horizontal="center"/>
    </xf>
    <xf numFmtId="0" fontId="2" fillId="8" borderId="45" xfId="0" applyFont="1" applyFill="1" applyBorder="1" applyAlignment="1">
      <alignment horizontal="center"/>
    </xf>
    <xf numFmtId="0" fontId="0" fillId="8" borderId="46" xfId="0" applyFont="1" applyFill="1" applyBorder="1" applyAlignment="1">
      <alignment horizontal="left"/>
    </xf>
    <xf numFmtId="0" fontId="0" fillId="8" borderId="47" xfId="0" applyNumberFormat="1" applyFont="1" applyFill="1" applyBorder="1"/>
    <xf numFmtId="0" fontId="0" fillId="8" borderId="48" xfId="0" applyFont="1" applyFill="1" applyBorder="1" applyAlignment="1">
      <alignment horizontal="left"/>
    </xf>
    <xf numFmtId="0" fontId="0" fillId="8" borderId="49" xfId="0" applyNumberFormat="1" applyFont="1" applyFill="1" applyBorder="1"/>
    <xf numFmtId="0" fontId="2" fillId="4" borderId="50" xfId="0" applyFont="1" applyFill="1" applyBorder="1" applyAlignment="1">
      <alignment horizontal="left"/>
    </xf>
    <xf numFmtId="0" fontId="2" fillId="4" borderId="51" xfId="0" applyNumberFormat="1" applyFont="1" applyFill="1" applyBorder="1"/>
    <xf numFmtId="0" fontId="2" fillId="4" borderId="35" xfId="0" applyNumberFormat="1" applyFont="1" applyFill="1" applyBorder="1"/>
    <xf numFmtId="0" fontId="2" fillId="4" borderId="38" xfId="0" applyNumberFormat="1" applyFont="1" applyFill="1" applyBorder="1"/>
    <xf numFmtId="0" fontId="2" fillId="0" borderId="52" xfId="0" applyFont="1" applyBorder="1" applyAlignment="1">
      <alignment horizontal="left"/>
    </xf>
    <xf numFmtId="0" fontId="2" fillId="0" borderId="53" xfId="0" applyNumberFormat="1" applyFont="1" applyBorder="1"/>
    <xf numFmtId="0" fontId="1" fillId="9" borderId="52" xfId="0" applyFont="1" applyFill="1" applyBorder="1"/>
    <xf numFmtId="0" fontId="1" fillId="9" borderId="54" xfId="0" applyFont="1" applyFill="1" applyBorder="1"/>
    <xf numFmtId="0" fontId="1" fillId="9" borderId="53" xfId="0" applyFont="1" applyFill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52" xfId="0" applyFont="1" applyBorder="1"/>
    <xf numFmtId="0" fontId="2" fillId="0" borderId="53" xfId="0" applyFont="1" applyBorder="1"/>
    <xf numFmtId="181" fontId="2" fillId="0" borderId="27" xfId="0" applyNumberFormat="1" applyFont="1" applyBorder="1" applyAlignment="1">
      <alignment horizontal="left"/>
    </xf>
    <xf numFmtId="0" fontId="2" fillId="0" borderId="29" xfId="0" applyNumberFormat="1" applyFont="1" applyBorder="1"/>
    <xf numFmtId="0" fontId="1" fillId="8" borderId="55" xfId="0" applyFont="1" applyFill="1" applyBorder="1" applyAlignment="1">
      <alignment horizontal="center"/>
    </xf>
    <xf numFmtId="0" fontId="1" fillId="8" borderId="56" xfId="0" applyFont="1" applyFill="1" applyBorder="1" applyAlignment="1">
      <alignment horizontal="center"/>
    </xf>
    <xf numFmtId="181" fontId="2" fillId="0" borderId="33" xfId="0" applyNumberFormat="1" applyFont="1" applyBorder="1" applyAlignment="1">
      <alignment horizontal="left"/>
    </xf>
    <xf numFmtId="0" fontId="2" fillId="0" borderId="35" xfId="0" applyNumberFormat="1" applyFont="1" applyBorder="1"/>
    <xf numFmtId="181" fontId="2" fillId="0" borderId="36" xfId="0" applyNumberFormat="1" applyFont="1" applyBorder="1" applyAlignment="1">
      <alignment horizontal="left"/>
    </xf>
    <xf numFmtId="0" fontId="2" fillId="0" borderId="38" xfId="0" applyNumberFormat="1" applyFont="1" applyBorder="1"/>
    <xf numFmtId="181" fontId="2" fillId="0" borderId="52" xfId="0" applyNumberFormat="1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1" fillId="9" borderId="57" xfId="0" applyFont="1" applyFill="1" applyBorder="1"/>
    <xf numFmtId="181" fontId="2" fillId="0" borderId="28" xfId="0" applyNumberFormat="1" applyFont="1" applyBorder="1" applyAlignment="1">
      <alignment horizontal="center"/>
    </xf>
    <xf numFmtId="181" fontId="2" fillId="0" borderId="34" xfId="0" applyNumberFormat="1" applyFont="1" applyBorder="1" applyAlignment="1">
      <alignment horizontal="center"/>
    </xf>
    <xf numFmtId="181" fontId="2" fillId="0" borderId="37" xfId="0" applyNumberFormat="1" applyFont="1" applyBorder="1" applyAlignment="1">
      <alignment horizontal="center"/>
    </xf>
    <xf numFmtId="0" fontId="2" fillId="0" borderId="58" xfId="0" applyFont="1" applyFill="1" applyBorder="1" applyAlignment="1">
      <alignment horizontal="right"/>
    </xf>
    <xf numFmtId="0" fontId="2" fillId="2" borderId="59" xfId="0" applyFont="1" applyFill="1" applyBorder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60" xfId="0" applyFont="1" applyBorder="1"/>
    <xf numFmtId="0" fontId="2" fillId="0" borderId="61" xfId="0" applyFont="1" applyBorder="1"/>
    <xf numFmtId="0" fontId="2" fillId="0" borderId="51" xfId="0" applyFont="1" applyBorder="1"/>
    <xf numFmtId="0" fontId="2" fillId="0" borderId="62" xfId="0" applyFont="1" applyBorder="1"/>
    <xf numFmtId="0" fontId="2" fillId="0" borderId="63" xfId="0" applyFont="1" applyBorder="1"/>
    <xf numFmtId="0" fontId="2" fillId="0" borderId="64" xfId="0" applyFont="1" applyBorder="1"/>
    <xf numFmtId="0" fontId="2" fillId="0" borderId="65" xfId="0" applyFont="1" applyBorder="1"/>
    <xf numFmtId="0" fontId="2" fillId="0" borderId="66" xfId="0" applyFont="1" applyBorder="1"/>
    <xf numFmtId="0" fontId="2" fillId="0" borderId="15" xfId="0" applyFont="1" applyBorder="1"/>
    <xf numFmtId="0" fontId="2" fillId="0" borderId="16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59"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font>
        <color theme="1"/>
      </font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font>
        <color theme="1"/>
      </font>
    </dxf>
    <dxf>
      <fill>
        <patternFill patternType="solid">
          <bgColor theme="9" tint="0.399975585192419"/>
        </patternFill>
      </fill>
    </dxf>
    <dxf>
      <fill>
        <patternFill patternType="solid">
          <bgColor theme="9" tint="0.399975585192419"/>
        </patternFill>
      </fill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</border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border>
        <top style="medium">
          <color auto="1"/>
        </top>
      </border>
    </dxf>
    <dxf>
      <border>
        <top style="medium">
          <color auto="1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9" tint="-0.499984740745262"/>
        </left>
        <right style="medium">
          <color theme="9" tint="-0.499984740745262"/>
        </right>
        <top style="medium">
          <color theme="9" tint="-0.499984740745262"/>
        </top>
        <bottom style="medium">
          <color theme="9" tint="-0.499984740745262"/>
        </bottom>
      </border>
    </dxf>
    <dxf>
      <border>
        <left style="medium">
          <color theme="9" tint="-0.499984740745262"/>
        </left>
        <right style="medium">
          <color theme="9" tint="-0.499984740745262"/>
        </right>
        <top style="medium">
          <color theme="9" tint="-0.499984740745262"/>
        </top>
        <bottom style="medium">
          <color theme="9" tint="-0.499984740745262"/>
        </bottom>
      </border>
    </dxf>
    <dxf>
      <font>
        <color theme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</border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</border>
    </dxf>
    <dxf>
      <font>
        <color theme="1"/>
      </font>
    </dxf>
    <dxf>
      <font>
        <name val="Calibri"/>
        <scheme val="none"/>
        <strike val="0"/>
        <u val="none"/>
        <sz val="11"/>
        <color theme="1"/>
      </font>
      <border>
        <left/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name val="Calibri"/>
        <scheme val="none"/>
        <strike val="0"/>
        <u val="none"/>
        <sz val="11"/>
        <color theme="1"/>
      </font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name val="Calibri"/>
        <scheme val="none"/>
        <strike val="0"/>
        <u val="none"/>
        <sz val="11"/>
        <color theme="1"/>
      </font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name val="Calibri"/>
        <scheme val="none"/>
        <strike val="0"/>
        <u val="none"/>
        <sz val="11"/>
        <color theme="1"/>
      </font>
      <numFmt numFmtId="0" formatCode="General"/>
      <border>
        <left style="thin">
          <color theme="4" tint="-0.249977111117893"/>
        </left>
        <right/>
        <top style="thin">
          <color theme="4" tint="-0.249977111117893"/>
        </top>
        <bottom style="thin">
          <color theme="4" tint="-0.24997711111789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43465487821326"/>
          <c:y val="0.0356249353509109"/>
          <c:w val="0.981424083308557"/>
          <c:h val="0.7540173601432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Основная_таблица!$C$1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Основная_таблица!$A$2:$B$750</c:f>
              <c:multiLvlStrCache>
                <c:ptCount val="557"/>
                <c:lvl>
                  <c:pt idx="0">
                    <c:v>PutIssue</c:v>
                  </c:pt>
                  <c:pt idx="1">
                    <c:v>MoveIssue</c:v>
                  </c:pt>
                  <c:pt idx="2">
                    <c:v>RenameIssue</c:v>
                  </c:pt>
                  <c:pt idx="3">
                    <c:v>CloseIssue</c:v>
                  </c:pt>
                  <c:pt idx="4">
                    <c:v>GetIssue</c:v>
                  </c:pt>
                  <c:pt idx="5">
                    <c:v>InspectIssue</c:v>
                  </c:pt>
                  <c:pt idx="6">
                    <c:v>UpdateIssue</c:v>
                  </c:pt>
                  <c:pt idx="7">
                    <c:v>DeleteIssue</c:v>
                  </c:pt>
                  <c:pt idx="8">
                    <c:v>CreateIssue</c:v>
                  </c:pt>
                  <c:pt idx="9">
                    <c:v>SaveIssue</c:v>
                  </c:pt>
                  <c:pt idx="10">
                    <c:v>PutIssue</c:v>
                  </c:pt>
                  <c:pt idx="11">
                    <c:v>MoveIssue</c:v>
                  </c:pt>
                  <c:pt idx="12">
                    <c:v>RenameIssue</c:v>
                  </c:pt>
                  <c:pt idx="13">
                    <c:v>CloseIssue</c:v>
                  </c:pt>
                  <c:pt idx="14">
                    <c:v>GetIssue</c:v>
                  </c:pt>
                  <c:pt idx="15">
                    <c:v>InspectIssue</c:v>
                  </c:pt>
                  <c:pt idx="16">
                    <c:v>UpdateIssue</c:v>
                  </c:pt>
                  <c:pt idx="17">
                    <c:v>DeleteIssue</c:v>
                  </c:pt>
                  <c:pt idx="18">
                    <c:v>CreateIssue</c:v>
                  </c:pt>
                  <c:pt idx="19">
                    <c:v>SaveIssue</c:v>
                  </c:pt>
                  <c:pt idx="20">
                    <c:v>PutIssue</c:v>
                  </c:pt>
                  <c:pt idx="21">
                    <c:v>MoveIssue</c:v>
                  </c:pt>
                  <c:pt idx="22">
                    <c:v>RenameIssue</c:v>
                  </c:pt>
                  <c:pt idx="23">
                    <c:v>CloseIssue</c:v>
                  </c:pt>
                  <c:pt idx="24">
                    <c:v>GetIssue</c:v>
                  </c:pt>
                  <c:pt idx="25">
                    <c:v>InspectIssue</c:v>
                  </c:pt>
                  <c:pt idx="26">
                    <c:v>UpdateIssue</c:v>
                  </c:pt>
                  <c:pt idx="27">
                    <c:v>DeleteIssue</c:v>
                  </c:pt>
                  <c:pt idx="28">
                    <c:v>CreateIssue</c:v>
                  </c:pt>
                  <c:pt idx="29">
                    <c:v>SaveIssue</c:v>
                  </c:pt>
                  <c:pt idx="30">
                    <c:v>PutIssue</c:v>
                  </c:pt>
                  <c:pt idx="31">
                    <c:v>MoveIssue</c:v>
                  </c:pt>
                  <c:pt idx="32">
                    <c:v>RenameIssue</c:v>
                  </c:pt>
                  <c:pt idx="33">
                    <c:v>CloseIssue</c:v>
                  </c:pt>
                  <c:pt idx="34">
                    <c:v>GetIssue</c:v>
                  </c:pt>
                  <c:pt idx="35">
                    <c:v>InspectIssue</c:v>
                  </c:pt>
                  <c:pt idx="36">
                    <c:v>UpdateIssue</c:v>
                  </c:pt>
                  <c:pt idx="37">
                    <c:v>DeleteIssue</c:v>
                  </c:pt>
                  <c:pt idx="38">
                    <c:v>CreateIssue</c:v>
                  </c:pt>
                  <c:pt idx="39">
                    <c:v>SaveIssue</c:v>
                  </c:pt>
                  <c:pt idx="40">
                    <c:v>PutIssue</c:v>
                  </c:pt>
                  <c:pt idx="41">
                    <c:v>MoveIssue</c:v>
                  </c:pt>
                  <c:pt idx="42">
                    <c:v>RenameIssue</c:v>
                  </c:pt>
                  <c:pt idx="43">
                    <c:v>CloseIssue</c:v>
                  </c:pt>
                  <c:pt idx="44">
                    <c:v>GetIssue</c:v>
                  </c:pt>
                  <c:pt idx="45">
                    <c:v>InspectIssue</c:v>
                  </c:pt>
                  <c:pt idx="46">
                    <c:v>UpdateIssue</c:v>
                  </c:pt>
                  <c:pt idx="47">
                    <c:v>DeleteIssue</c:v>
                  </c:pt>
                  <c:pt idx="48">
                    <c:v>CreateIssue</c:v>
                  </c:pt>
                  <c:pt idx="49">
                    <c:v>PutIssue</c:v>
                  </c:pt>
                  <c:pt idx="50">
                    <c:v>MoveIssue</c:v>
                  </c:pt>
                  <c:pt idx="51">
                    <c:v>RenameIssue</c:v>
                  </c:pt>
                  <c:pt idx="52">
                    <c:v>CloseIssue</c:v>
                  </c:pt>
                  <c:pt idx="53">
                    <c:v>GetIssue</c:v>
                  </c:pt>
                  <c:pt idx="54">
                    <c:v>InspectIssue</c:v>
                  </c:pt>
                  <c:pt idx="55">
                    <c:v>UpdateIssue</c:v>
                  </c:pt>
                  <c:pt idx="56">
                    <c:v>DeleteIssue</c:v>
                  </c:pt>
                  <c:pt idx="57">
                    <c:v>CreateIssue</c:v>
                  </c:pt>
                  <c:pt idx="58">
                    <c:v>SaveIssue</c:v>
                  </c:pt>
                  <c:pt idx="59">
                    <c:v>PutIssue</c:v>
                  </c:pt>
                  <c:pt idx="60">
                    <c:v>MoveIssue</c:v>
                  </c:pt>
                  <c:pt idx="61">
                    <c:v>RenameIssue</c:v>
                  </c:pt>
                  <c:pt idx="62">
                    <c:v>CloseIssue</c:v>
                  </c:pt>
                  <c:pt idx="63">
                    <c:v>GetIssue</c:v>
                  </c:pt>
                  <c:pt idx="64">
                    <c:v>InspectIssue</c:v>
                  </c:pt>
                  <c:pt idx="65">
                    <c:v>UpdateIssue</c:v>
                  </c:pt>
                  <c:pt idx="66">
                    <c:v>DeleteIssue</c:v>
                  </c:pt>
                  <c:pt idx="67">
                    <c:v>CreateIssue</c:v>
                  </c:pt>
                  <c:pt idx="68">
                    <c:v>SaveIssue</c:v>
                  </c:pt>
                  <c:pt idx="69">
                    <c:v>PutIssue</c:v>
                  </c:pt>
                  <c:pt idx="70">
                    <c:v>MoveIssue</c:v>
                  </c:pt>
                  <c:pt idx="71">
                    <c:v>RenameIssue</c:v>
                  </c:pt>
                  <c:pt idx="72">
                    <c:v>SaveIssue</c:v>
                  </c:pt>
                  <c:pt idx="73">
                    <c:v>PutIssue</c:v>
                  </c:pt>
                  <c:pt idx="74">
                    <c:v>MoveIssue</c:v>
                  </c:pt>
                  <c:pt idx="75">
                    <c:v>RenameIssue</c:v>
                  </c:pt>
                  <c:pt idx="76">
                    <c:v>CloseIssue</c:v>
                  </c:pt>
                  <c:pt idx="77">
                    <c:v>GetIssue</c:v>
                  </c:pt>
                  <c:pt idx="78">
                    <c:v>InspectIssue</c:v>
                  </c:pt>
                  <c:pt idx="79">
                    <c:v>UpdateIssue</c:v>
                  </c:pt>
                  <c:pt idx="80">
                    <c:v>DeleteIssue</c:v>
                  </c:pt>
                  <c:pt idx="81">
                    <c:v>CreateIssue</c:v>
                  </c:pt>
                  <c:pt idx="82">
                    <c:v>SaveIssue</c:v>
                  </c:pt>
                  <c:pt idx="83">
                    <c:v>PutIssue</c:v>
                  </c:pt>
                  <c:pt idx="84">
                    <c:v>MoveIssue</c:v>
                  </c:pt>
                  <c:pt idx="85">
                    <c:v>RenameIssue</c:v>
                  </c:pt>
                  <c:pt idx="86">
                    <c:v>CloseIssue</c:v>
                  </c:pt>
                  <c:pt idx="87">
                    <c:v>GetIssue</c:v>
                  </c:pt>
                  <c:pt idx="88">
                    <c:v>InspectIssue</c:v>
                  </c:pt>
                  <c:pt idx="89">
                    <c:v>UpdateIssue</c:v>
                  </c:pt>
                  <c:pt idx="90">
                    <c:v>DeleteIssue</c:v>
                  </c:pt>
                  <c:pt idx="91">
                    <c:v>CreateIssue</c:v>
                  </c:pt>
                  <c:pt idx="92">
                    <c:v>SaveIssue</c:v>
                  </c:pt>
                  <c:pt idx="93">
                    <c:v>PutIssue</c:v>
                  </c:pt>
                  <c:pt idx="94">
                    <c:v>MoveIssue</c:v>
                  </c:pt>
                  <c:pt idx="95">
                    <c:v>RenameIssue</c:v>
                  </c:pt>
                  <c:pt idx="96">
                    <c:v>MoveIssue</c:v>
                  </c:pt>
                  <c:pt idx="97">
                    <c:v>RenameIssue</c:v>
                  </c:pt>
                  <c:pt idx="98">
                    <c:v>CloseIssue</c:v>
                  </c:pt>
                  <c:pt idx="99">
                    <c:v>GetIssue</c:v>
                  </c:pt>
                  <c:pt idx="100">
                    <c:v>InspectIssue</c:v>
                  </c:pt>
                  <c:pt idx="101">
                    <c:v>UpdateIssue</c:v>
                  </c:pt>
                  <c:pt idx="102">
                    <c:v>DeleteIssue</c:v>
                  </c:pt>
                  <c:pt idx="103">
                    <c:v>CreateIssue</c:v>
                  </c:pt>
                  <c:pt idx="104">
                    <c:v>SaveIssue</c:v>
                  </c:pt>
                  <c:pt idx="105">
                    <c:v>PutIssue</c:v>
                  </c:pt>
                  <c:pt idx="106">
                    <c:v>MoveIssue</c:v>
                  </c:pt>
                  <c:pt idx="107">
                    <c:v>RenameIssue</c:v>
                  </c:pt>
                  <c:pt idx="108">
                    <c:v>CloseIssue</c:v>
                  </c:pt>
                  <c:pt idx="109">
                    <c:v>GetIssue</c:v>
                  </c:pt>
                  <c:pt idx="110">
                    <c:v>InspectIssue</c:v>
                  </c:pt>
                  <c:pt idx="111">
                    <c:v>UpdateIssue</c:v>
                  </c:pt>
                  <c:pt idx="112">
                    <c:v>DeleteIssue</c:v>
                  </c:pt>
                  <c:pt idx="113">
                    <c:v>CreateIssue</c:v>
                  </c:pt>
                  <c:pt idx="114">
                    <c:v>SaveIssue</c:v>
                  </c:pt>
                  <c:pt idx="115">
                    <c:v>PutIssue</c:v>
                  </c:pt>
                  <c:pt idx="116">
                    <c:v>MoveIssue</c:v>
                  </c:pt>
                  <c:pt idx="117">
                    <c:v>RenameIssue</c:v>
                  </c:pt>
                  <c:pt idx="118">
                    <c:v>CloseIssue</c:v>
                  </c:pt>
                  <c:pt idx="119">
                    <c:v>GetIssue</c:v>
                  </c:pt>
                  <c:pt idx="120">
                    <c:v>InspectIssue</c:v>
                  </c:pt>
                  <c:pt idx="121">
                    <c:v>UpdateIssue</c:v>
                  </c:pt>
                  <c:pt idx="122">
                    <c:v>DeleteIssue</c:v>
                  </c:pt>
                  <c:pt idx="123">
                    <c:v>CreateIssue</c:v>
                  </c:pt>
                  <c:pt idx="124">
                    <c:v>SaveIssue</c:v>
                  </c:pt>
                  <c:pt idx="125">
                    <c:v>PutIssue</c:v>
                  </c:pt>
                  <c:pt idx="126">
                    <c:v>MoveIssue</c:v>
                  </c:pt>
                  <c:pt idx="127">
                    <c:v>RenameIssue</c:v>
                  </c:pt>
                  <c:pt idx="128">
                    <c:v>CloseIssue</c:v>
                  </c:pt>
                  <c:pt idx="129">
                    <c:v>GetIssue</c:v>
                  </c:pt>
                  <c:pt idx="130">
                    <c:v>InspectIssue</c:v>
                  </c:pt>
                  <c:pt idx="131">
                    <c:v>UpdateIssue</c:v>
                  </c:pt>
                  <c:pt idx="132">
                    <c:v>DeleteIssue</c:v>
                  </c:pt>
                  <c:pt idx="133">
                    <c:v>CreateIssue</c:v>
                  </c:pt>
                  <c:pt idx="134">
                    <c:v>SaveIssue</c:v>
                  </c:pt>
                  <c:pt idx="135">
                    <c:v>PutIssue</c:v>
                  </c:pt>
                  <c:pt idx="136">
                    <c:v>MoveIssue</c:v>
                  </c:pt>
                  <c:pt idx="137">
                    <c:v>RenameIssue</c:v>
                  </c:pt>
                  <c:pt idx="138">
                    <c:v>CloseIssue</c:v>
                  </c:pt>
                  <c:pt idx="139">
                    <c:v>GetIssue</c:v>
                  </c:pt>
                  <c:pt idx="140">
                    <c:v>InspectIssue</c:v>
                  </c:pt>
                  <c:pt idx="141">
                    <c:v>UpdateIssue</c:v>
                  </c:pt>
                  <c:pt idx="142">
                    <c:v>DeleteIssue</c:v>
                  </c:pt>
                  <c:pt idx="143">
                    <c:v>CreateIssue</c:v>
                  </c:pt>
                  <c:pt idx="144">
                    <c:v>SaveIssue</c:v>
                  </c:pt>
                  <c:pt idx="145">
                    <c:v>PutIssue</c:v>
                  </c:pt>
                  <c:pt idx="146">
                    <c:v>MoveIssue</c:v>
                  </c:pt>
                  <c:pt idx="147">
                    <c:v>RenameIssue</c:v>
                  </c:pt>
                  <c:pt idx="148">
                    <c:v>CloseIssue</c:v>
                  </c:pt>
                  <c:pt idx="149">
                    <c:v>GetIssue</c:v>
                  </c:pt>
                  <c:pt idx="150">
                    <c:v>InspectIssue</c:v>
                  </c:pt>
                  <c:pt idx="151">
                    <c:v>UpdateIssue</c:v>
                  </c:pt>
                  <c:pt idx="152">
                    <c:v>DeleteIssue</c:v>
                  </c:pt>
                  <c:pt idx="153">
                    <c:v>CreateIssue</c:v>
                  </c:pt>
                  <c:pt idx="154">
                    <c:v>SaveIssue</c:v>
                  </c:pt>
                  <c:pt idx="155">
                    <c:v>PutIssue</c:v>
                  </c:pt>
                  <c:pt idx="156">
                    <c:v>MoveIssue</c:v>
                  </c:pt>
                  <c:pt idx="157">
                    <c:v>RenameIssue</c:v>
                  </c:pt>
                  <c:pt idx="158">
                    <c:v>CloseIssue</c:v>
                  </c:pt>
                  <c:pt idx="159">
                    <c:v>GetIssue</c:v>
                  </c:pt>
                  <c:pt idx="160">
                    <c:v>InspectIssue</c:v>
                  </c:pt>
                  <c:pt idx="161">
                    <c:v>UpdateIssue</c:v>
                  </c:pt>
                  <c:pt idx="162">
                    <c:v>DeleteIssue</c:v>
                  </c:pt>
                  <c:pt idx="163">
                    <c:v>CreateIssue</c:v>
                  </c:pt>
                  <c:pt idx="164">
                    <c:v>SaveIssue</c:v>
                  </c:pt>
                  <c:pt idx="165">
                    <c:v>PutIssue</c:v>
                  </c:pt>
                  <c:pt idx="166">
                    <c:v>MoveIssue</c:v>
                  </c:pt>
                  <c:pt idx="167">
                    <c:v>RenameIssue</c:v>
                  </c:pt>
                  <c:pt idx="168">
                    <c:v>CloseIssue</c:v>
                  </c:pt>
                  <c:pt idx="169">
                    <c:v>GetIssue</c:v>
                  </c:pt>
                  <c:pt idx="170">
                    <c:v>InspectIssue</c:v>
                  </c:pt>
                  <c:pt idx="171">
                    <c:v>UpdateIssue</c:v>
                  </c:pt>
                  <c:pt idx="172">
                    <c:v>DeleteIssue</c:v>
                  </c:pt>
                  <c:pt idx="173">
                    <c:v>CreateIssue</c:v>
                  </c:pt>
                  <c:pt idx="174">
                    <c:v>SaveIssue</c:v>
                  </c:pt>
                  <c:pt idx="175">
                    <c:v>PutIssue</c:v>
                  </c:pt>
                  <c:pt idx="176">
                    <c:v>MoveIssue</c:v>
                  </c:pt>
                  <c:pt idx="177">
                    <c:v>RenameIssue</c:v>
                  </c:pt>
                  <c:pt idx="178">
                    <c:v>CloseIssue</c:v>
                  </c:pt>
                  <c:pt idx="179">
                    <c:v>GetIssue</c:v>
                  </c:pt>
                  <c:pt idx="180">
                    <c:v>InspectIssue</c:v>
                  </c:pt>
                  <c:pt idx="181">
                    <c:v>UpdateIssue</c:v>
                  </c:pt>
                  <c:pt idx="182">
                    <c:v>DeleteIssue</c:v>
                  </c:pt>
                  <c:pt idx="183">
                    <c:v>CreateIssue</c:v>
                  </c:pt>
                  <c:pt idx="184">
                    <c:v>SaveIssue</c:v>
                  </c:pt>
                  <c:pt idx="185">
                    <c:v>PutIssue</c:v>
                  </c:pt>
                  <c:pt idx="186">
                    <c:v>MoveIssue</c:v>
                  </c:pt>
                  <c:pt idx="187">
                    <c:v>RenameIssue</c:v>
                  </c:pt>
                  <c:pt idx="188">
                    <c:v>CloseIssue</c:v>
                  </c:pt>
                  <c:pt idx="189">
                    <c:v>GetIssue</c:v>
                  </c:pt>
                  <c:pt idx="190">
                    <c:v>InspectIssue</c:v>
                  </c:pt>
                  <c:pt idx="191">
                    <c:v>UpdateIssue</c:v>
                  </c:pt>
                  <c:pt idx="192">
                    <c:v>DeleteIssue</c:v>
                  </c:pt>
                  <c:pt idx="193">
                    <c:v>CreateIssue</c:v>
                  </c:pt>
                  <c:pt idx="194">
                    <c:v>SaveIssue</c:v>
                  </c:pt>
                  <c:pt idx="195">
                    <c:v>PutIssue</c:v>
                  </c:pt>
                  <c:pt idx="196">
                    <c:v>MoveIssue</c:v>
                  </c:pt>
                  <c:pt idx="197">
                    <c:v>RenameIssue</c:v>
                  </c:pt>
                  <c:pt idx="198">
                    <c:v>CloseIssue</c:v>
                  </c:pt>
                  <c:pt idx="199">
                    <c:v>GetIssue</c:v>
                  </c:pt>
                  <c:pt idx="200">
                    <c:v>InspectIssue</c:v>
                  </c:pt>
                  <c:pt idx="201">
                    <c:v>UpdateIssue</c:v>
                  </c:pt>
                  <c:pt idx="202">
                    <c:v>DeleteIssue</c:v>
                  </c:pt>
                  <c:pt idx="203">
                    <c:v>CreateIssue</c:v>
                  </c:pt>
                  <c:pt idx="204">
                    <c:v>SaveIssue</c:v>
                  </c:pt>
                  <c:pt idx="205">
                    <c:v>PutIssue</c:v>
                  </c:pt>
                  <c:pt idx="206">
                    <c:v>MoveIssue</c:v>
                  </c:pt>
                  <c:pt idx="207">
                    <c:v>RenameIssue</c:v>
                  </c:pt>
                  <c:pt idx="208">
                    <c:v>CloseIssue</c:v>
                  </c:pt>
                  <c:pt idx="209">
                    <c:v>GetIssue</c:v>
                  </c:pt>
                  <c:pt idx="210">
                    <c:v>InspectIssue</c:v>
                  </c:pt>
                  <c:pt idx="211">
                    <c:v>UpdateIssue</c:v>
                  </c:pt>
                  <c:pt idx="212">
                    <c:v>DeleteIssue</c:v>
                  </c:pt>
                  <c:pt idx="213">
                    <c:v>CreateIssue</c:v>
                  </c:pt>
                  <c:pt idx="214">
                    <c:v>SaveIssue</c:v>
                  </c:pt>
                  <c:pt idx="215">
                    <c:v>PutIssue</c:v>
                  </c:pt>
                  <c:pt idx="216">
                    <c:v>SaveIssue</c:v>
                  </c:pt>
                  <c:pt idx="217">
                    <c:v>PutIssue</c:v>
                  </c:pt>
                  <c:pt idx="218">
                    <c:v>MoveIssue</c:v>
                  </c:pt>
                  <c:pt idx="219">
                    <c:v>RenameIssue</c:v>
                  </c:pt>
                  <c:pt idx="220">
                    <c:v>CloseIssue</c:v>
                  </c:pt>
                  <c:pt idx="221">
                    <c:v>GetIssue</c:v>
                  </c:pt>
                  <c:pt idx="222">
                    <c:v>InspectIssue</c:v>
                  </c:pt>
                  <c:pt idx="223">
                    <c:v>UpdateIssue</c:v>
                  </c:pt>
                  <c:pt idx="224">
                    <c:v>DeleteIssue</c:v>
                  </c:pt>
                  <c:pt idx="225">
                    <c:v>CreateIssue</c:v>
                  </c:pt>
                  <c:pt idx="226">
                    <c:v>SaveIssue</c:v>
                  </c:pt>
                  <c:pt idx="227">
                    <c:v>PutIssue</c:v>
                  </c:pt>
                  <c:pt idx="228">
                    <c:v>MoveIssue</c:v>
                  </c:pt>
                  <c:pt idx="229">
                    <c:v>RenameIssue</c:v>
                  </c:pt>
                  <c:pt idx="230">
                    <c:v>CloseIssue</c:v>
                  </c:pt>
                  <c:pt idx="231">
                    <c:v>GetIssue</c:v>
                  </c:pt>
                  <c:pt idx="232">
                    <c:v>InspectIssue</c:v>
                  </c:pt>
                  <c:pt idx="233">
                    <c:v>UpdateIssue</c:v>
                  </c:pt>
                  <c:pt idx="234">
                    <c:v>DeleteIssue</c:v>
                  </c:pt>
                  <c:pt idx="235">
                    <c:v>CreateIssue</c:v>
                  </c:pt>
                  <c:pt idx="236">
                    <c:v>SaveIssue</c:v>
                  </c:pt>
                  <c:pt idx="237">
                    <c:v>PutIssue</c:v>
                  </c:pt>
                  <c:pt idx="238">
                    <c:v>MoveIssue</c:v>
                  </c:pt>
                  <c:pt idx="239">
                    <c:v>RenameIssue</c:v>
                  </c:pt>
                  <c:pt idx="240">
                    <c:v>CloseIssue</c:v>
                  </c:pt>
                  <c:pt idx="241">
                    <c:v>GetIssue</c:v>
                  </c:pt>
                  <c:pt idx="242">
                    <c:v>InspectIssue</c:v>
                  </c:pt>
                  <c:pt idx="243">
                    <c:v>UpdateIssue</c:v>
                  </c:pt>
                  <c:pt idx="244">
                    <c:v>DeleteIssue</c:v>
                  </c:pt>
                  <c:pt idx="245">
                    <c:v>CreateIssue</c:v>
                  </c:pt>
                  <c:pt idx="246">
                    <c:v>SaveIssue</c:v>
                  </c:pt>
                  <c:pt idx="247">
                    <c:v>PutIssue</c:v>
                  </c:pt>
                  <c:pt idx="248">
                    <c:v>MoveIssue</c:v>
                  </c:pt>
                  <c:pt idx="249">
                    <c:v>RenameIssue</c:v>
                  </c:pt>
                  <c:pt idx="250">
                    <c:v>CloseIssue</c:v>
                  </c:pt>
                  <c:pt idx="251">
                    <c:v>GetIssue</c:v>
                  </c:pt>
                  <c:pt idx="252">
                    <c:v>InspectIssue</c:v>
                  </c:pt>
                  <c:pt idx="253">
                    <c:v>UpdateIssue</c:v>
                  </c:pt>
                  <c:pt idx="254">
                    <c:v>DeleteIssue</c:v>
                  </c:pt>
                  <c:pt idx="255">
                    <c:v>CreateIssue</c:v>
                  </c:pt>
                  <c:pt idx="256">
                    <c:v>SaveIssue</c:v>
                  </c:pt>
                  <c:pt idx="257">
                    <c:v>PutIssue</c:v>
                  </c:pt>
                  <c:pt idx="258">
                    <c:v>MoveIssue</c:v>
                  </c:pt>
                  <c:pt idx="259">
                    <c:v>RenameIssue</c:v>
                  </c:pt>
                  <c:pt idx="260">
                    <c:v>CloseIssue</c:v>
                  </c:pt>
                  <c:pt idx="261">
                    <c:v>GetIssue</c:v>
                  </c:pt>
                  <c:pt idx="262">
                    <c:v>InspectIssue</c:v>
                  </c:pt>
                  <c:pt idx="263">
                    <c:v>UpdateIssue</c:v>
                  </c:pt>
                  <c:pt idx="264">
                    <c:v>DeleteIssue</c:v>
                  </c:pt>
                  <c:pt idx="265">
                    <c:v>CreateIssue</c:v>
                  </c:pt>
                  <c:pt idx="266">
                    <c:v>SaveIssue</c:v>
                  </c:pt>
                  <c:pt idx="267">
                    <c:v>PutIssue</c:v>
                  </c:pt>
                  <c:pt idx="268">
                    <c:v>MoveIssue</c:v>
                  </c:pt>
                  <c:pt idx="269">
                    <c:v>RenameIssue</c:v>
                  </c:pt>
                  <c:pt idx="270">
                    <c:v>CloseIssue</c:v>
                  </c:pt>
                  <c:pt idx="271">
                    <c:v>GetIssue</c:v>
                  </c:pt>
                  <c:pt idx="272">
                    <c:v>InspectIssue</c:v>
                  </c:pt>
                  <c:pt idx="273">
                    <c:v>UpdateIssue</c:v>
                  </c:pt>
                  <c:pt idx="274">
                    <c:v>DeleteIssue</c:v>
                  </c:pt>
                  <c:pt idx="275">
                    <c:v>CreateIssue</c:v>
                  </c:pt>
                  <c:pt idx="276">
                    <c:v>SaveIssue</c:v>
                  </c:pt>
                  <c:pt idx="277">
                    <c:v>PutIssue</c:v>
                  </c:pt>
                  <c:pt idx="278">
                    <c:v>MoveIssue</c:v>
                  </c:pt>
                  <c:pt idx="279">
                    <c:v>RenameIssue</c:v>
                  </c:pt>
                  <c:pt idx="280">
                    <c:v>CloseIssue</c:v>
                  </c:pt>
                  <c:pt idx="281">
                    <c:v>GetIssue</c:v>
                  </c:pt>
                  <c:pt idx="282">
                    <c:v>InspectIssue</c:v>
                  </c:pt>
                  <c:pt idx="283">
                    <c:v>UpdateIssue</c:v>
                  </c:pt>
                  <c:pt idx="284">
                    <c:v>DeleteIssue</c:v>
                  </c:pt>
                  <c:pt idx="285">
                    <c:v>CreateIssue</c:v>
                  </c:pt>
                  <c:pt idx="286">
                    <c:v>SaveIssue</c:v>
                  </c:pt>
                  <c:pt idx="287">
                    <c:v>PutIssue</c:v>
                  </c:pt>
                  <c:pt idx="288">
                    <c:v>MoveIssue</c:v>
                  </c:pt>
                  <c:pt idx="289">
                    <c:v>RenameIssue</c:v>
                  </c:pt>
                  <c:pt idx="290">
                    <c:v>CloseIssue</c:v>
                  </c:pt>
                  <c:pt idx="291">
                    <c:v>GetIssue</c:v>
                  </c:pt>
                  <c:pt idx="292">
                    <c:v>InspectIssue</c:v>
                  </c:pt>
                  <c:pt idx="293">
                    <c:v>UpdateIssue</c:v>
                  </c:pt>
                  <c:pt idx="294">
                    <c:v>DeleteIssue</c:v>
                  </c:pt>
                  <c:pt idx="295">
                    <c:v>CreateIssue</c:v>
                  </c:pt>
                  <c:pt idx="296">
                    <c:v>SaveIssue</c:v>
                  </c:pt>
                  <c:pt idx="297">
                    <c:v>PutIssue</c:v>
                  </c:pt>
                  <c:pt idx="298">
                    <c:v>MoveIssue</c:v>
                  </c:pt>
                  <c:pt idx="299">
                    <c:v>RenameIssue</c:v>
                  </c:pt>
                  <c:pt idx="300">
                    <c:v>CloseIssue</c:v>
                  </c:pt>
                  <c:pt idx="301">
                    <c:v>GetIssue</c:v>
                  </c:pt>
                  <c:pt idx="302">
                    <c:v>InspectIssue</c:v>
                  </c:pt>
                  <c:pt idx="303">
                    <c:v>UpdateIssue</c:v>
                  </c:pt>
                  <c:pt idx="304">
                    <c:v>DeleteIssue</c:v>
                  </c:pt>
                  <c:pt idx="305">
                    <c:v>CreateIssue</c:v>
                  </c:pt>
                  <c:pt idx="306">
                    <c:v>SaveIssue</c:v>
                  </c:pt>
                  <c:pt idx="307">
                    <c:v>PutIssue</c:v>
                  </c:pt>
                  <c:pt idx="308">
                    <c:v>MoveIssue</c:v>
                  </c:pt>
                  <c:pt idx="309">
                    <c:v>RenameIssue</c:v>
                  </c:pt>
                  <c:pt idx="310">
                    <c:v>CloseIssue</c:v>
                  </c:pt>
                  <c:pt idx="311">
                    <c:v>GetIssue</c:v>
                  </c:pt>
                  <c:pt idx="312">
                    <c:v>InspectIssue</c:v>
                  </c:pt>
                  <c:pt idx="313">
                    <c:v>UpdateIssue</c:v>
                  </c:pt>
                  <c:pt idx="314">
                    <c:v>DeleteIssue</c:v>
                  </c:pt>
                  <c:pt idx="315">
                    <c:v>CreateIssue</c:v>
                  </c:pt>
                  <c:pt idx="316">
                    <c:v>SaveIssue</c:v>
                  </c:pt>
                  <c:pt idx="317">
                    <c:v>PutIssue</c:v>
                  </c:pt>
                  <c:pt idx="318">
                    <c:v>MoveIssue</c:v>
                  </c:pt>
                  <c:pt idx="319">
                    <c:v>RenameIssue</c:v>
                  </c:pt>
                  <c:pt idx="320">
                    <c:v>CloseIssue</c:v>
                  </c:pt>
                  <c:pt idx="321">
                    <c:v>GetIssue</c:v>
                  </c:pt>
                  <c:pt idx="322">
                    <c:v>InspectIssue</c:v>
                  </c:pt>
                  <c:pt idx="323">
                    <c:v>UpdateIssue</c:v>
                  </c:pt>
                  <c:pt idx="324">
                    <c:v>DeleteIssue</c:v>
                  </c:pt>
                  <c:pt idx="325">
                    <c:v>CreateIssue</c:v>
                  </c:pt>
                  <c:pt idx="326">
                    <c:v>SaveIssue</c:v>
                  </c:pt>
                  <c:pt idx="327">
                    <c:v>PutIssue</c:v>
                  </c:pt>
                  <c:pt idx="328">
                    <c:v>MoveIssue</c:v>
                  </c:pt>
                  <c:pt idx="329">
                    <c:v>RenameIssue</c:v>
                  </c:pt>
                  <c:pt idx="330">
                    <c:v>CloseIssue</c:v>
                  </c:pt>
                  <c:pt idx="331">
                    <c:v>GetIssue</c:v>
                  </c:pt>
                  <c:pt idx="332">
                    <c:v>InspectIssue</c:v>
                  </c:pt>
                  <c:pt idx="333">
                    <c:v>UpdateIssue</c:v>
                  </c:pt>
                  <c:pt idx="334">
                    <c:v>DeleteIssue</c:v>
                  </c:pt>
                  <c:pt idx="335">
                    <c:v>CreateIssue</c:v>
                  </c:pt>
                  <c:pt idx="336">
                    <c:v>DeleteIssue</c:v>
                  </c:pt>
                  <c:pt idx="337">
                    <c:v>CreateIssue</c:v>
                  </c:pt>
                  <c:pt idx="338">
                    <c:v>SaveIssue</c:v>
                  </c:pt>
                  <c:pt idx="339">
                    <c:v>PutIssue</c:v>
                  </c:pt>
                  <c:pt idx="340">
                    <c:v>MoveIssue</c:v>
                  </c:pt>
                  <c:pt idx="341">
                    <c:v>RenameIssue</c:v>
                  </c:pt>
                  <c:pt idx="342">
                    <c:v>CloseIssue</c:v>
                  </c:pt>
                  <c:pt idx="343">
                    <c:v>GetIssue</c:v>
                  </c:pt>
                  <c:pt idx="344">
                    <c:v>InspectIssue</c:v>
                  </c:pt>
                  <c:pt idx="345">
                    <c:v>UpdateIssue</c:v>
                  </c:pt>
                  <c:pt idx="346">
                    <c:v>DeleteIssue</c:v>
                  </c:pt>
                  <c:pt idx="347">
                    <c:v>CreateIssue</c:v>
                  </c:pt>
                  <c:pt idx="348">
                    <c:v>SaveIssue</c:v>
                  </c:pt>
                  <c:pt idx="349">
                    <c:v>PutIssue</c:v>
                  </c:pt>
                  <c:pt idx="350">
                    <c:v>MoveIssue</c:v>
                  </c:pt>
                  <c:pt idx="351">
                    <c:v>RenameIssue</c:v>
                  </c:pt>
                  <c:pt idx="352">
                    <c:v>CloseIssue</c:v>
                  </c:pt>
                  <c:pt idx="353">
                    <c:v>GetIssue</c:v>
                  </c:pt>
                  <c:pt idx="354">
                    <c:v>InspectIssue</c:v>
                  </c:pt>
                  <c:pt idx="355">
                    <c:v>UpdateIssue</c:v>
                  </c:pt>
                  <c:pt idx="356">
                    <c:v>DeleteIssue</c:v>
                  </c:pt>
                  <c:pt idx="357">
                    <c:v>CreateIssue</c:v>
                  </c:pt>
                  <c:pt idx="358">
                    <c:v>SaveIssue</c:v>
                  </c:pt>
                  <c:pt idx="359">
                    <c:v>PutIssue</c:v>
                  </c:pt>
                  <c:pt idx="360">
                    <c:v>MoveIssue</c:v>
                  </c:pt>
                  <c:pt idx="361">
                    <c:v>RenameIssue</c:v>
                  </c:pt>
                  <c:pt idx="362">
                    <c:v>CloseIssue</c:v>
                  </c:pt>
                  <c:pt idx="363">
                    <c:v>GetIssue</c:v>
                  </c:pt>
                  <c:pt idx="364">
                    <c:v>InspectIssue</c:v>
                  </c:pt>
                  <c:pt idx="365">
                    <c:v>UpdateIssue</c:v>
                  </c:pt>
                  <c:pt idx="366">
                    <c:v>DeleteIssue</c:v>
                  </c:pt>
                  <c:pt idx="367">
                    <c:v>CreateIssue</c:v>
                  </c:pt>
                  <c:pt idx="368">
                    <c:v>SaveIssue</c:v>
                  </c:pt>
                  <c:pt idx="369">
                    <c:v>PutIssue</c:v>
                  </c:pt>
                  <c:pt idx="370">
                    <c:v>MoveIssue</c:v>
                  </c:pt>
                  <c:pt idx="371">
                    <c:v>RenameIssue</c:v>
                  </c:pt>
                  <c:pt idx="372">
                    <c:v>CloseIssue</c:v>
                  </c:pt>
                  <c:pt idx="373">
                    <c:v>GetIssue</c:v>
                  </c:pt>
                  <c:pt idx="374">
                    <c:v>InspectIssue</c:v>
                  </c:pt>
                  <c:pt idx="375">
                    <c:v>UpdateIssue</c:v>
                  </c:pt>
                  <c:pt idx="376">
                    <c:v>DeleteIssue</c:v>
                  </c:pt>
                  <c:pt idx="377">
                    <c:v>CreateIssue</c:v>
                  </c:pt>
                  <c:pt idx="378">
                    <c:v>SaveIssue</c:v>
                  </c:pt>
                  <c:pt idx="379">
                    <c:v>PutIssue</c:v>
                  </c:pt>
                  <c:pt idx="380">
                    <c:v>MoveIssue</c:v>
                  </c:pt>
                  <c:pt idx="381">
                    <c:v>RenameIssue</c:v>
                  </c:pt>
                  <c:pt idx="382">
                    <c:v>CloseIssue</c:v>
                  </c:pt>
                  <c:pt idx="383">
                    <c:v>GetIssue</c:v>
                  </c:pt>
                  <c:pt idx="384">
                    <c:v>InspectIssue</c:v>
                  </c:pt>
                  <c:pt idx="385">
                    <c:v>UpdateIssue</c:v>
                  </c:pt>
                  <c:pt idx="386">
                    <c:v>DeleteIssue</c:v>
                  </c:pt>
                  <c:pt idx="387">
                    <c:v>CreateIssue</c:v>
                  </c:pt>
                  <c:pt idx="388">
                    <c:v>SaveIssue</c:v>
                  </c:pt>
                  <c:pt idx="389">
                    <c:v>PutIssue</c:v>
                  </c:pt>
                  <c:pt idx="390">
                    <c:v>MoveIssue</c:v>
                  </c:pt>
                  <c:pt idx="391">
                    <c:v>RenameIssue</c:v>
                  </c:pt>
                  <c:pt idx="392">
                    <c:v>CloseIssue</c:v>
                  </c:pt>
                  <c:pt idx="393">
                    <c:v>GetIssue</c:v>
                  </c:pt>
                  <c:pt idx="394">
                    <c:v>InspectIssue</c:v>
                  </c:pt>
                  <c:pt idx="395">
                    <c:v>UpdateIssue</c:v>
                  </c:pt>
                  <c:pt idx="396">
                    <c:v>DeleteIssue</c:v>
                  </c:pt>
                  <c:pt idx="397">
                    <c:v>CreateIssue</c:v>
                  </c:pt>
                  <c:pt idx="398">
                    <c:v>SaveIssue</c:v>
                  </c:pt>
                  <c:pt idx="399">
                    <c:v>PutIssue</c:v>
                  </c:pt>
                  <c:pt idx="400">
                    <c:v>MoveIssue</c:v>
                  </c:pt>
                  <c:pt idx="401">
                    <c:v>RenameIssue</c:v>
                  </c:pt>
                  <c:pt idx="402">
                    <c:v>CloseIssue</c:v>
                  </c:pt>
                  <c:pt idx="403">
                    <c:v>GetIssue</c:v>
                  </c:pt>
                  <c:pt idx="404">
                    <c:v>InspectIssue</c:v>
                  </c:pt>
                  <c:pt idx="405">
                    <c:v>UpdateIssue</c:v>
                  </c:pt>
                  <c:pt idx="406">
                    <c:v>PutIssue</c:v>
                  </c:pt>
                  <c:pt idx="407">
                    <c:v>MoveIssue</c:v>
                  </c:pt>
                  <c:pt idx="408">
                    <c:v>UpdateIssue</c:v>
                  </c:pt>
                  <c:pt idx="409">
                    <c:v>DeleteIssue</c:v>
                  </c:pt>
                  <c:pt idx="410">
                    <c:v>CreateIssue</c:v>
                  </c:pt>
                  <c:pt idx="411">
                    <c:v>SaveIssue</c:v>
                  </c:pt>
                  <c:pt idx="412">
                    <c:v>PutIssue</c:v>
                  </c:pt>
                  <c:pt idx="413">
                    <c:v>MoveIssue</c:v>
                  </c:pt>
                  <c:pt idx="414">
                    <c:v>RenameIssue</c:v>
                  </c:pt>
                  <c:pt idx="415">
                    <c:v>CloseIssue</c:v>
                  </c:pt>
                  <c:pt idx="416">
                    <c:v>GetIssue</c:v>
                  </c:pt>
                  <c:pt idx="417">
                    <c:v>InspectIssue</c:v>
                  </c:pt>
                  <c:pt idx="418">
                    <c:v>UpdateIssue</c:v>
                  </c:pt>
                  <c:pt idx="419">
                    <c:v>DeleteIssue</c:v>
                  </c:pt>
                  <c:pt idx="420">
                    <c:v>CreateIssue</c:v>
                  </c:pt>
                  <c:pt idx="421">
                    <c:v>SaveIssue</c:v>
                  </c:pt>
                  <c:pt idx="422">
                    <c:v>PutIssue</c:v>
                  </c:pt>
                  <c:pt idx="423">
                    <c:v>MoveIssue</c:v>
                  </c:pt>
                  <c:pt idx="424">
                    <c:v>RenameIssue</c:v>
                  </c:pt>
                  <c:pt idx="425">
                    <c:v>CloseIssue</c:v>
                  </c:pt>
                  <c:pt idx="426">
                    <c:v>GetIssue</c:v>
                  </c:pt>
                  <c:pt idx="427">
                    <c:v>InspectIssue</c:v>
                  </c:pt>
                  <c:pt idx="428">
                    <c:v>UpdateIssue</c:v>
                  </c:pt>
                  <c:pt idx="429">
                    <c:v>DeleteIssue</c:v>
                  </c:pt>
                  <c:pt idx="430">
                    <c:v>CreateIssue</c:v>
                  </c:pt>
                  <c:pt idx="431">
                    <c:v>SaveIssue</c:v>
                  </c:pt>
                  <c:pt idx="432">
                    <c:v>PutIssue</c:v>
                  </c:pt>
                  <c:pt idx="433">
                    <c:v>MoveIssue</c:v>
                  </c:pt>
                  <c:pt idx="434">
                    <c:v>RenameIssue</c:v>
                  </c:pt>
                  <c:pt idx="435">
                    <c:v>CloseIssue</c:v>
                  </c:pt>
                  <c:pt idx="436">
                    <c:v>GetIssue</c:v>
                  </c:pt>
                  <c:pt idx="437">
                    <c:v>InspectIssue</c:v>
                  </c:pt>
                  <c:pt idx="438">
                    <c:v>UpdateIssue</c:v>
                  </c:pt>
                  <c:pt idx="439">
                    <c:v>DeleteIssue</c:v>
                  </c:pt>
                  <c:pt idx="440">
                    <c:v>CreateIssue</c:v>
                  </c:pt>
                  <c:pt idx="441">
                    <c:v>SaveIssue</c:v>
                  </c:pt>
                  <c:pt idx="442">
                    <c:v>PutIssue</c:v>
                  </c:pt>
                  <c:pt idx="443">
                    <c:v>MoveIssue</c:v>
                  </c:pt>
                  <c:pt idx="444">
                    <c:v>RenameIssue</c:v>
                  </c:pt>
                  <c:pt idx="445">
                    <c:v>CloseIssue</c:v>
                  </c:pt>
                  <c:pt idx="446">
                    <c:v>GetIssue</c:v>
                  </c:pt>
                  <c:pt idx="447">
                    <c:v>InspectIssue</c:v>
                  </c:pt>
                  <c:pt idx="448">
                    <c:v>UpdateIssue</c:v>
                  </c:pt>
                  <c:pt idx="449">
                    <c:v>DeleteIssue</c:v>
                  </c:pt>
                  <c:pt idx="450">
                    <c:v>CreateIssue</c:v>
                  </c:pt>
                  <c:pt idx="451">
                    <c:v>SaveIssue</c:v>
                  </c:pt>
                  <c:pt idx="452">
                    <c:v>PutIssue</c:v>
                  </c:pt>
                  <c:pt idx="453">
                    <c:v>MoveIssue</c:v>
                  </c:pt>
                  <c:pt idx="454">
                    <c:v>RenameIssue</c:v>
                  </c:pt>
                  <c:pt idx="455">
                    <c:v>CloseIssue</c:v>
                  </c:pt>
                  <c:pt idx="456">
                    <c:v>RenameIssue</c:v>
                  </c:pt>
                  <c:pt idx="457">
                    <c:v>CloseIssue</c:v>
                  </c:pt>
                  <c:pt idx="458">
                    <c:v>GetIssue</c:v>
                  </c:pt>
                  <c:pt idx="459">
                    <c:v>InspectIssue</c:v>
                  </c:pt>
                  <c:pt idx="460">
                    <c:v>UpdateIssue</c:v>
                  </c:pt>
                  <c:pt idx="461">
                    <c:v>DeleteIssue</c:v>
                  </c:pt>
                  <c:pt idx="462">
                    <c:v>CreateIssue</c:v>
                  </c:pt>
                  <c:pt idx="463">
                    <c:v>SaveIssue</c:v>
                  </c:pt>
                  <c:pt idx="464">
                    <c:v>PutIssue</c:v>
                  </c:pt>
                  <c:pt idx="465">
                    <c:v>MoveIssue</c:v>
                  </c:pt>
                  <c:pt idx="466">
                    <c:v>RenameIssue</c:v>
                  </c:pt>
                  <c:pt idx="467">
                    <c:v>CloseIssue</c:v>
                  </c:pt>
                  <c:pt idx="468">
                    <c:v>GetIssue</c:v>
                  </c:pt>
                  <c:pt idx="469">
                    <c:v>InspectIssue</c:v>
                  </c:pt>
                  <c:pt idx="470">
                    <c:v>UpdateIssue</c:v>
                  </c:pt>
                  <c:pt idx="471">
                    <c:v>DeleteIssue</c:v>
                  </c:pt>
                  <c:pt idx="472">
                    <c:v>CreateIssue</c:v>
                  </c:pt>
                  <c:pt idx="473">
                    <c:v>SaveIssue</c:v>
                  </c:pt>
                  <c:pt idx="474">
                    <c:v>PutIssue</c:v>
                  </c:pt>
                  <c:pt idx="475">
                    <c:v>MoveIssue</c:v>
                  </c:pt>
                  <c:pt idx="476">
                    <c:v>RenameIssue</c:v>
                  </c:pt>
                  <c:pt idx="477">
                    <c:v>CloseIssue</c:v>
                  </c:pt>
                  <c:pt idx="478">
                    <c:v>GetIssue</c:v>
                  </c:pt>
                  <c:pt idx="479">
                    <c:v>InspectIssue</c:v>
                  </c:pt>
                  <c:pt idx="480">
                    <c:v>UpdateIssue</c:v>
                  </c:pt>
                  <c:pt idx="481">
                    <c:v>DeleteIssue</c:v>
                  </c:pt>
                  <c:pt idx="482">
                    <c:v>CreateIssue</c:v>
                  </c:pt>
                  <c:pt idx="483">
                    <c:v>SaveIssue</c:v>
                  </c:pt>
                  <c:pt idx="484">
                    <c:v>PutIssue</c:v>
                  </c:pt>
                  <c:pt idx="485">
                    <c:v>MoveIssue</c:v>
                  </c:pt>
                  <c:pt idx="486">
                    <c:v>RenameIssue</c:v>
                  </c:pt>
                  <c:pt idx="487">
                    <c:v>CloseIssue</c:v>
                  </c:pt>
                  <c:pt idx="488">
                    <c:v>GetIssue</c:v>
                  </c:pt>
                  <c:pt idx="489">
                    <c:v>InspectIssue</c:v>
                  </c:pt>
                  <c:pt idx="490">
                    <c:v>UpdateIssue</c:v>
                  </c:pt>
                  <c:pt idx="491">
                    <c:v>DeleteIssue</c:v>
                  </c:pt>
                  <c:pt idx="492">
                    <c:v>CreateIssue</c:v>
                  </c:pt>
                  <c:pt idx="493">
                    <c:v>SaveIssue</c:v>
                  </c:pt>
                  <c:pt idx="494">
                    <c:v>PutIssue</c:v>
                  </c:pt>
                  <c:pt idx="495">
                    <c:v>MoveIssue</c:v>
                  </c:pt>
                  <c:pt idx="496">
                    <c:v>RenameIssue</c:v>
                  </c:pt>
                  <c:pt idx="497">
                    <c:v>CloseIssue</c:v>
                  </c:pt>
                  <c:pt idx="498">
                    <c:v>GetIssue</c:v>
                  </c:pt>
                  <c:pt idx="499">
                    <c:v>InspectIssue</c:v>
                  </c:pt>
                  <c:pt idx="500">
                    <c:v>UpdateIssue</c:v>
                  </c:pt>
                  <c:pt idx="501">
                    <c:v>DeleteIssue</c:v>
                  </c:pt>
                  <c:pt idx="502">
                    <c:v>CreateIssue</c:v>
                  </c:pt>
                  <c:pt idx="503">
                    <c:v>SaveIssue</c:v>
                  </c:pt>
                  <c:pt idx="504">
                    <c:v>PutIssue</c:v>
                  </c:pt>
                  <c:pt idx="505">
                    <c:v>MoveIssue</c:v>
                  </c:pt>
                  <c:pt idx="506">
                    <c:v>RenameIssue</c:v>
                  </c:pt>
                  <c:pt idx="507">
                    <c:v>CloseIssue</c:v>
                  </c:pt>
                  <c:pt idx="508">
                    <c:v>GetIssue</c:v>
                  </c:pt>
                  <c:pt idx="509">
                    <c:v>InspectIssue</c:v>
                  </c:pt>
                  <c:pt idx="510">
                    <c:v>UpdateIssue</c:v>
                  </c:pt>
                  <c:pt idx="511">
                    <c:v>DeleteIssue</c:v>
                  </c:pt>
                  <c:pt idx="512">
                    <c:v>CreateIssue</c:v>
                  </c:pt>
                  <c:pt idx="513">
                    <c:v>SaveIssue</c:v>
                  </c:pt>
                  <c:pt idx="514">
                    <c:v>PutIssue</c:v>
                  </c:pt>
                  <c:pt idx="515">
                    <c:v>MoveIssue</c:v>
                  </c:pt>
                  <c:pt idx="516">
                    <c:v>RenameIssue</c:v>
                  </c:pt>
                  <c:pt idx="517">
                    <c:v>CloseIssue</c:v>
                  </c:pt>
                  <c:pt idx="518">
                    <c:v>GetIssue</c:v>
                  </c:pt>
                  <c:pt idx="519">
                    <c:v>InspectIssue</c:v>
                  </c:pt>
                  <c:pt idx="520">
                    <c:v>UpdateIssue</c:v>
                  </c:pt>
                  <c:pt idx="521">
                    <c:v>DeleteIssue</c:v>
                  </c:pt>
                  <c:pt idx="522">
                    <c:v>CreateIssue</c:v>
                  </c:pt>
                  <c:pt idx="523">
                    <c:v>SaveIssue</c:v>
                  </c:pt>
                  <c:pt idx="524">
                    <c:v>PutIssue</c:v>
                  </c:pt>
                  <c:pt idx="525">
                    <c:v>MoveIssue</c:v>
                  </c:pt>
                  <c:pt idx="526">
                    <c:v>RenameIssue</c:v>
                  </c:pt>
                  <c:pt idx="527">
                    <c:v>CloseIssue</c:v>
                  </c:pt>
                  <c:pt idx="528">
                    <c:v>InspectIssue</c:v>
                  </c:pt>
                  <c:pt idx="529">
                    <c:v>UpdateIssue</c:v>
                  </c:pt>
                  <c:pt idx="530">
                    <c:v>DeleteIssue</c:v>
                  </c:pt>
                  <c:pt idx="531">
                    <c:v>CreateIssue</c:v>
                  </c:pt>
                  <c:pt idx="532">
                    <c:v>SaveIssue</c:v>
                  </c:pt>
                  <c:pt idx="533">
                    <c:v>MoveIssue</c:v>
                  </c:pt>
                  <c:pt idx="534">
                    <c:v>RenameIssue</c:v>
                  </c:pt>
                  <c:pt idx="535">
                    <c:v>CloseIssue</c:v>
                  </c:pt>
                  <c:pt idx="536">
                    <c:v>GetIssue</c:v>
                  </c:pt>
                  <c:pt idx="537">
                    <c:v>InspectIssue</c:v>
                  </c:pt>
                  <c:pt idx="538">
                    <c:v>UpdateIssue</c:v>
                  </c:pt>
                  <c:pt idx="539">
                    <c:v>DeleteIssue</c:v>
                  </c:pt>
                  <c:pt idx="540">
                    <c:v>CreateIssue</c:v>
                  </c:pt>
                  <c:pt idx="541">
                    <c:v>SaveIssue</c:v>
                  </c:pt>
                  <c:pt idx="542">
                    <c:v>PutIssue</c:v>
                  </c:pt>
                  <c:pt idx="543">
                    <c:v>MoveIssue</c:v>
                  </c:pt>
                  <c:pt idx="544">
                    <c:v>RenameIssue</c:v>
                  </c:pt>
                  <c:pt idx="545">
                    <c:v>CloseIssue</c:v>
                  </c:pt>
                  <c:pt idx="546">
                    <c:v>GetIssue</c:v>
                  </c:pt>
                  <c:pt idx="547">
                    <c:v>InspectIssue</c:v>
                  </c:pt>
                  <c:pt idx="548">
                    <c:v>UpdateIssue</c:v>
                  </c:pt>
                  <c:pt idx="549">
                    <c:v>DeleteIssue</c:v>
                  </c:pt>
                  <c:pt idx="550">
                    <c:v>CreateIssue</c:v>
                  </c:pt>
                  <c:pt idx="551">
                    <c:v>SaveIssue</c:v>
                  </c:pt>
                  <c:pt idx="552">
                    <c:v>PutIssue</c:v>
                  </c:pt>
                  <c:pt idx="553">
                    <c:v>MoveIssue</c:v>
                  </c:pt>
                  <c:pt idx="554">
                    <c:v>RenameIssue</c:v>
                  </c:pt>
                  <c:pt idx="555">
                    <c:v>CloseIssue</c:v>
                  </c:pt>
                  <c:pt idx="556">
                    <c:v>GetIssue</c:v>
                  </c:pt>
                </c:lvl>
                <c:lvl>
                  <c:pt idx="0">
                    <c:v>2024-10-01 00</c:v>
                  </c:pt>
                  <c:pt idx="1">
                    <c:v>2024-10-01 01</c:v>
                  </c:pt>
                  <c:pt idx="2">
                    <c:v>2024-10-01 02</c:v>
                  </c:pt>
                  <c:pt idx="3">
                    <c:v>2024-10-01 03</c:v>
                  </c:pt>
                  <c:pt idx="4">
                    <c:v>2024-10-01 04</c:v>
                  </c:pt>
                  <c:pt idx="5">
                    <c:v>2024-10-01 05</c:v>
                  </c:pt>
                  <c:pt idx="6">
                    <c:v>2024-10-01 06</c:v>
                  </c:pt>
                  <c:pt idx="7">
                    <c:v>2024-10-01 07</c:v>
                  </c:pt>
                  <c:pt idx="8">
                    <c:v>2024-10-01 08</c:v>
                  </c:pt>
                  <c:pt idx="9">
                    <c:v>2024-10-01 09</c:v>
                  </c:pt>
                  <c:pt idx="10">
                    <c:v>2024-10-01 10</c:v>
                  </c:pt>
                  <c:pt idx="11">
                    <c:v>2024-10-01 11</c:v>
                  </c:pt>
                  <c:pt idx="12">
                    <c:v>2024-10-01 12</c:v>
                  </c:pt>
                  <c:pt idx="13">
                    <c:v>2024-10-01 13</c:v>
                  </c:pt>
                  <c:pt idx="14">
                    <c:v>2024-10-01 14</c:v>
                  </c:pt>
                  <c:pt idx="15">
                    <c:v>2024-10-01 15</c:v>
                  </c:pt>
                  <c:pt idx="16">
                    <c:v>2024-10-01 16</c:v>
                  </c:pt>
                  <c:pt idx="17">
                    <c:v>2024-10-01 17</c:v>
                  </c:pt>
                  <c:pt idx="18">
                    <c:v>2024-10-01 18</c:v>
                  </c:pt>
                  <c:pt idx="19">
                    <c:v>2024-10-01 19</c:v>
                  </c:pt>
                  <c:pt idx="20">
                    <c:v>2024-10-01 20</c:v>
                  </c:pt>
                  <c:pt idx="21">
                    <c:v>2024-10-01 21</c:v>
                  </c:pt>
                  <c:pt idx="22">
                    <c:v>2024-10-01 22</c:v>
                  </c:pt>
                  <c:pt idx="23">
                    <c:v>2024-10-01 23</c:v>
                  </c:pt>
                  <c:pt idx="24">
                    <c:v>2024-10-02 00</c:v>
                  </c:pt>
                  <c:pt idx="25">
                    <c:v>2024-10-02 01</c:v>
                  </c:pt>
                  <c:pt idx="26">
                    <c:v>2024-10-02 02</c:v>
                  </c:pt>
                  <c:pt idx="27">
                    <c:v>2024-10-02 03</c:v>
                  </c:pt>
                  <c:pt idx="28">
                    <c:v>2024-10-02 04</c:v>
                  </c:pt>
                  <c:pt idx="29">
                    <c:v>2024-10-02 05</c:v>
                  </c:pt>
                  <c:pt idx="30">
                    <c:v>2024-10-02 06</c:v>
                  </c:pt>
                  <c:pt idx="31">
                    <c:v>2024-10-02 07</c:v>
                  </c:pt>
                  <c:pt idx="32">
                    <c:v>2024-10-02 08</c:v>
                  </c:pt>
                  <c:pt idx="33">
                    <c:v>2024-10-02 09</c:v>
                  </c:pt>
                  <c:pt idx="34">
                    <c:v>2024-10-02 10</c:v>
                  </c:pt>
                  <c:pt idx="35">
                    <c:v>2024-10-02 11</c:v>
                  </c:pt>
                  <c:pt idx="36">
                    <c:v>2024-10-02 12</c:v>
                  </c:pt>
                  <c:pt idx="37">
                    <c:v>2024-10-02 13</c:v>
                  </c:pt>
                  <c:pt idx="38">
                    <c:v>2024-10-02 14</c:v>
                  </c:pt>
                  <c:pt idx="39">
                    <c:v>2024-10-02 15</c:v>
                  </c:pt>
                  <c:pt idx="40">
                    <c:v>2024-10-02 16</c:v>
                  </c:pt>
                  <c:pt idx="41">
                    <c:v>2024-10-02 17</c:v>
                  </c:pt>
                  <c:pt idx="42">
                    <c:v>2024-10-02 18</c:v>
                  </c:pt>
                  <c:pt idx="43">
                    <c:v>2024-10-02 19</c:v>
                  </c:pt>
                  <c:pt idx="44">
                    <c:v>2024-10-02 20</c:v>
                  </c:pt>
                  <c:pt idx="45">
                    <c:v>2024-10-02 21</c:v>
                  </c:pt>
                  <c:pt idx="46">
                    <c:v>2024-10-02 22</c:v>
                  </c:pt>
                  <c:pt idx="47">
                    <c:v>2024-10-02 23</c:v>
                  </c:pt>
                  <c:pt idx="48">
                    <c:v>2024-10-03 00</c:v>
                  </c:pt>
                  <c:pt idx="49">
                    <c:v>2024-10-03 01</c:v>
                  </c:pt>
                  <c:pt idx="50">
                    <c:v>2024-10-03 02</c:v>
                  </c:pt>
                  <c:pt idx="51">
                    <c:v>2024-10-03 03</c:v>
                  </c:pt>
                  <c:pt idx="52">
                    <c:v>2024-10-03 04</c:v>
                  </c:pt>
                  <c:pt idx="53">
                    <c:v>2024-10-03 05</c:v>
                  </c:pt>
                  <c:pt idx="54">
                    <c:v>2024-10-03 06</c:v>
                  </c:pt>
                  <c:pt idx="55">
                    <c:v>2024-10-03 07</c:v>
                  </c:pt>
                  <c:pt idx="56">
                    <c:v>2024-10-03 08</c:v>
                  </c:pt>
                  <c:pt idx="57">
                    <c:v>2024-10-03 09</c:v>
                  </c:pt>
                  <c:pt idx="58">
                    <c:v>2024-10-03 10</c:v>
                  </c:pt>
                  <c:pt idx="59">
                    <c:v>2024-10-03 11</c:v>
                  </c:pt>
                  <c:pt idx="60">
                    <c:v>2024-10-03 12</c:v>
                  </c:pt>
                  <c:pt idx="61">
                    <c:v>2024-10-03 13</c:v>
                  </c:pt>
                  <c:pt idx="62">
                    <c:v>2024-10-03 14</c:v>
                  </c:pt>
                  <c:pt idx="63">
                    <c:v>2024-10-03 15</c:v>
                  </c:pt>
                  <c:pt idx="64">
                    <c:v>2024-10-03 16</c:v>
                  </c:pt>
                  <c:pt idx="65">
                    <c:v>2024-10-03 17</c:v>
                  </c:pt>
                  <c:pt idx="66">
                    <c:v>2024-10-03 18</c:v>
                  </c:pt>
                  <c:pt idx="67">
                    <c:v>2024-10-03 19</c:v>
                  </c:pt>
                  <c:pt idx="68">
                    <c:v>2024-10-03 20</c:v>
                  </c:pt>
                  <c:pt idx="69">
                    <c:v>2024-10-03 21</c:v>
                  </c:pt>
                  <c:pt idx="70">
                    <c:v>2024-10-03 22</c:v>
                  </c:pt>
                  <c:pt idx="71">
                    <c:v>2024-10-03 23</c:v>
                  </c:pt>
                  <c:pt idx="72">
                    <c:v>2024-10-04 00</c:v>
                  </c:pt>
                  <c:pt idx="73">
                    <c:v>2024-10-04 01</c:v>
                  </c:pt>
                  <c:pt idx="74">
                    <c:v>2024-10-04 02</c:v>
                  </c:pt>
                  <c:pt idx="75">
                    <c:v>2024-10-04 03</c:v>
                  </c:pt>
                  <c:pt idx="76">
                    <c:v>2024-10-04 04</c:v>
                  </c:pt>
                  <c:pt idx="77">
                    <c:v>2024-10-04 05</c:v>
                  </c:pt>
                  <c:pt idx="78">
                    <c:v>2024-10-04 06</c:v>
                  </c:pt>
                  <c:pt idx="79">
                    <c:v>2024-10-04 07</c:v>
                  </c:pt>
                  <c:pt idx="80">
                    <c:v>2024-10-04 08</c:v>
                  </c:pt>
                  <c:pt idx="81">
                    <c:v>2024-10-04 09</c:v>
                  </c:pt>
                  <c:pt idx="82">
                    <c:v>2024-10-04 10</c:v>
                  </c:pt>
                  <c:pt idx="83">
                    <c:v>2024-10-04 11</c:v>
                  </c:pt>
                  <c:pt idx="84">
                    <c:v>2024-10-04 12</c:v>
                  </c:pt>
                  <c:pt idx="85">
                    <c:v>2024-10-04 13</c:v>
                  </c:pt>
                  <c:pt idx="86">
                    <c:v>2024-10-04 14</c:v>
                  </c:pt>
                  <c:pt idx="87">
                    <c:v>2024-10-04 15</c:v>
                  </c:pt>
                  <c:pt idx="88">
                    <c:v>2024-10-04 16</c:v>
                  </c:pt>
                  <c:pt idx="89">
                    <c:v>2024-10-04 17</c:v>
                  </c:pt>
                  <c:pt idx="90">
                    <c:v>2024-10-04 18</c:v>
                  </c:pt>
                  <c:pt idx="91">
                    <c:v>2024-10-04 19</c:v>
                  </c:pt>
                  <c:pt idx="92">
                    <c:v>2024-10-04 20</c:v>
                  </c:pt>
                  <c:pt idx="93">
                    <c:v>2024-10-04 21</c:v>
                  </c:pt>
                  <c:pt idx="94">
                    <c:v>2024-10-04 22</c:v>
                  </c:pt>
                  <c:pt idx="95">
                    <c:v>2024-10-04 23</c:v>
                  </c:pt>
                  <c:pt idx="96">
                    <c:v>2024-10-07 00</c:v>
                  </c:pt>
                  <c:pt idx="97">
                    <c:v>2024-10-07 01</c:v>
                  </c:pt>
                  <c:pt idx="98">
                    <c:v>2024-10-07 02</c:v>
                  </c:pt>
                  <c:pt idx="99">
                    <c:v>2024-10-07 03</c:v>
                  </c:pt>
                  <c:pt idx="100">
                    <c:v>2024-10-07 04</c:v>
                  </c:pt>
                  <c:pt idx="101">
                    <c:v>2024-10-07 05</c:v>
                  </c:pt>
                  <c:pt idx="102">
                    <c:v>2024-10-07 06</c:v>
                  </c:pt>
                  <c:pt idx="103">
                    <c:v>2024-10-07 07</c:v>
                  </c:pt>
                  <c:pt idx="104">
                    <c:v>2024-10-07 08</c:v>
                  </c:pt>
                  <c:pt idx="105">
                    <c:v>2024-10-07 09</c:v>
                  </c:pt>
                  <c:pt idx="106">
                    <c:v>2024-10-07 10</c:v>
                  </c:pt>
                  <c:pt idx="107">
                    <c:v>2024-10-07 11</c:v>
                  </c:pt>
                  <c:pt idx="108">
                    <c:v>2024-10-07 12</c:v>
                  </c:pt>
                  <c:pt idx="109">
                    <c:v>2024-10-07 13</c:v>
                  </c:pt>
                  <c:pt idx="110">
                    <c:v>2024-10-07 14</c:v>
                  </c:pt>
                  <c:pt idx="111">
                    <c:v>2024-10-07 15</c:v>
                  </c:pt>
                  <c:pt idx="112">
                    <c:v>2024-10-07 16</c:v>
                  </c:pt>
                  <c:pt idx="113">
                    <c:v>2024-10-07 17</c:v>
                  </c:pt>
                  <c:pt idx="114">
                    <c:v>2024-10-07 18</c:v>
                  </c:pt>
                  <c:pt idx="115">
                    <c:v>2024-10-07 19</c:v>
                  </c:pt>
                  <c:pt idx="116">
                    <c:v>2024-10-07 20</c:v>
                  </c:pt>
                  <c:pt idx="117">
                    <c:v>2024-10-07 21</c:v>
                  </c:pt>
                  <c:pt idx="118">
                    <c:v>2024-10-07 22</c:v>
                  </c:pt>
                  <c:pt idx="119">
                    <c:v>2024-10-07 23</c:v>
                  </c:pt>
                  <c:pt idx="120">
                    <c:v>2024-10-08 00</c:v>
                  </c:pt>
                  <c:pt idx="121">
                    <c:v>2024-10-08 01</c:v>
                  </c:pt>
                  <c:pt idx="122">
                    <c:v>2024-10-08 02</c:v>
                  </c:pt>
                  <c:pt idx="123">
                    <c:v>2024-10-08 03</c:v>
                  </c:pt>
                  <c:pt idx="124">
                    <c:v>2024-10-08 04</c:v>
                  </c:pt>
                  <c:pt idx="125">
                    <c:v>2024-10-08 05</c:v>
                  </c:pt>
                  <c:pt idx="126">
                    <c:v>2024-10-08 06</c:v>
                  </c:pt>
                  <c:pt idx="127">
                    <c:v>2024-10-08 07</c:v>
                  </c:pt>
                  <c:pt idx="128">
                    <c:v>2024-10-08 08</c:v>
                  </c:pt>
                  <c:pt idx="129">
                    <c:v>2024-10-08 09</c:v>
                  </c:pt>
                  <c:pt idx="130">
                    <c:v>2024-10-08 10</c:v>
                  </c:pt>
                  <c:pt idx="131">
                    <c:v>2024-10-08 11</c:v>
                  </c:pt>
                  <c:pt idx="132">
                    <c:v>2024-10-08 12</c:v>
                  </c:pt>
                  <c:pt idx="133">
                    <c:v>2024-10-08 13</c:v>
                  </c:pt>
                  <c:pt idx="134">
                    <c:v>2024-10-08 14</c:v>
                  </c:pt>
                  <c:pt idx="135">
                    <c:v>2024-10-08 15</c:v>
                  </c:pt>
                  <c:pt idx="136">
                    <c:v>2024-10-08 16</c:v>
                  </c:pt>
                  <c:pt idx="137">
                    <c:v>2024-10-08 17</c:v>
                  </c:pt>
                  <c:pt idx="138">
                    <c:v>2024-10-08 18</c:v>
                  </c:pt>
                  <c:pt idx="139">
                    <c:v>2024-10-08 19</c:v>
                  </c:pt>
                  <c:pt idx="140">
                    <c:v>2024-10-08 20</c:v>
                  </c:pt>
                  <c:pt idx="141">
                    <c:v>2024-10-08 21</c:v>
                  </c:pt>
                  <c:pt idx="142">
                    <c:v>2024-10-08 22</c:v>
                  </c:pt>
                  <c:pt idx="143">
                    <c:v>2024-10-08 23</c:v>
                  </c:pt>
                  <c:pt idx="144">
                    <c:v>2024-10-09 00</c:v>
                  </c:pt>
                  <c:pt idx="145">
                    <c:v>2024-10-09 01</c:v>
                  </c:pt>
                  <c:pt idx="146">
                    <c:v>2024-10-09 02</c:v>
                  </c:pt>
                  <c:pt idx="147">
                    <c:v>2024-10-09 03</c:v>
                  </c:pt>
                  <c:pt idx="148">
                    <c:v>2024-10-09 04</c:v>
                  </c:pt>
                  <c:pt idx="149">
                    <c:v>2024-10-09 05</c:v>
                  </c:pt>
                  <c:pt idx="150">
                    <c:v>2024-10-09 06</c:v>
                  </c:pt>
                  <c:pt idx="151">
                    <c:v>2024-10-09 07</c:v>
                  </c:pt>
                  <c:pt idx="152">
                    <c:v>2024-10-09 08</c:v>
                  </c:pt>
                  <c:pt idx="153">
                    <c:v>2024-10-09 09</c:v>
                  </c:pt>
                  <c:pt idx="154">
                    <c:v>2024-10-09 10</c:v>
                  </c:pt>
                  <c:pt idx="155">
                    <c:v>2024-10-09 11</c:v>
                  </c:pt>
                  <c:pt idx="156">
                    <c:v>2024-10-09 12</c:v>
                  </c:pt>
                  <c:pt idx="157">
                    <c:v>2024-10-09 13</c:v>
                  </c:pt>
                  <c:pt idx="158">
                    <c:v>2024-10-09 14</c:v>
                  </c:pt>
                  <c:pt idx="159">
                    <c:v>2024-10-09 15</c:v>
                  </c:pt>
                  <c:pt idx="160">
                    <c:v>2024-10-09 16</c:v>
                  </c:pt>
                  <c:pt idx="161">
                    <c:v>2024-10-09 17</c:v>
                  </c:pt>
                  <c:pt idx="162">
                    <c:v>2024-10-09 18</c:v>
                  </c:pt>
                  <c:pt idx="163">
                    <c:v>2024-10-09 19</c:v>
                  </c:pt>
                  <c:pt idx="164">
                    <c:v>2024-10-09 20</c:v>
                  </c:pt>
                  <c:pt idx="165">
                    <c:v>2024-10-09 21</c:v>
                  </c:pt>
                  <c:pt idx="166">
                    <c:v>2024-10-09 22</c:v>
                  </c:pt>
                  <c:pt idx="167">
                    <c:v>2024-10-09 23</c:v>
                  </c:pt>
                  <c:pt idx="168">
                    <c:v>2024-10-10 00</c:v>
                  </c:pt>
                  <c:pt idx="169">
                    <c:v>2024-10-10 01</c:v>
                  </c:pt>
                  <c:pt idx="170">
                    <c:v>2024-10-10 02</c:v>
                  </c:pt>
                  <c:pt idx="171">
                    <c:v>2024-10-10 03</c:v>
                  </c:pt>
                  <c:pt idx="172">
                    <c:v>2024-10-10 04</c:v>
                  </c:pt>
                  <c:pt idx="173">
                    <c:v>2024-10-10 05</c:v>
                  </c:pt>
                  <c:pt idx="174">
                    <c:v>2024-10-10 06</c:v>
                  </c:pt>
                  <c:pt idx="175">
                    <c:v>2024-10-10 07</c:v>
                  </c:pt>
                  <c:pt idx="176">
                    <c:v>2024-10-10 08</c:v>
                  </c:pt>
                  <c:pt idx="177">
                    <c:v>2024-10-10 09</c:v>
                  </c:pt>
                  <c:pt idx="178">
                    <c:v>2024-10-10 10</c:v>
                  </c:pt>
                  <c:pt idx="179">
                    <c:v>2024-10-10 11</c:v>
                  </c:pt>
                  <c:pt idx="180">
                    <c:v>2024-10-10 12</c:v>
                  </c:pt>
                  <c:pt idx="181">
                    <c:v>2024-10-10 13</c:v>
                  </c:pt>
                  <c:pt idx="182">
                    <c:v>2024-10-10 14</c:v>
                  </c:pt>
                  <c:pt idx="183">
                    <c:v>2024-10-10 15</c:v>
                  </c:pt>
                  <c:pt idx="184">
                    <c:v>2024-10-10 16</c:v>
                  </c:pt>
                  <c:pt idx="185">
                    <c:v>2024-10-10 17</c:v>
                  </c:pt>
                  <c:pt idx="186">
                    <c:v>2024-10-10 18</c:v>
                  </c:pt>
                  <c:pt idx="187">
                    <c:v>2024-10-10 19</c:v>
                  </c:pt>
                  <c:pt idx="188">
                    <c:v>2024-10-10 20</c:v>
                  </c:pt>
                  <c:pt idx="189">
                    <c:v>2024-10-10 21</c:v>
                  </c:pt>
                  <c:pt idx="190">
                    <c:v>2024-10-10 22</c:v>
                  </c:pt>
                  <c:pt idx="191">
                    <c:v>2024-10-10 23</c:v>
                  </c:pt>
                  <c:pt idx="192">
                    <c:v>2024-10-11 00</c:v>
                  </c:pt>
                  <c:pt idx="193">
                    <c:v>2024-10-11 01</c:v>
                  </c:pt>
                  <c:pt idx="194">
                    <c:v>2024-10-11 02</c:v>
                  </c:pt>
                  <c:pt idx="195">
                    <c:v>2024-10-11 03</c:v>
                  </c:pt>
                  <c:pt idx="196">
                    <c:v>2024-10-11 04</c:v>
                  </c:pt>
                  <c:pt idx="197">
                    <c:v>2024-10-11 05</c:v>
                  </c:pt>
                  <c:pt idx="198">
                    <c:v>2024-10-11 06</c:v>
                  </c:pt>
                  <c:pt idx="199">
                    <c:v>2024-10-11 07</c:v>
                  </c:pt>
                  <c:pt idx="200">
                    <c:v>2024-10-11 08</c:v>
                  </c:pt>
                  <c:pt idx="201">
                    <c:v>2024-10-11 09</c:v>
                  </c:pt>
                  <c:pt idx="202">
                    <c:v>2024-10-11 10</c:v>
                  </c:pt>
                  <c:pt idx="203">
                    <c:v>2024-10-11 11</c:v>
                  </c:pt>
                  <c:pt idx="204">
                    <c:v>2024-10-11 12</c:v>
                  </c:pt>
                  <c:pt idx="205">
                    <c:v>2024-10-11 13</c:v>
                  </c:pt>
                  <c:pt idx="206">
                    <c:v>2024-10-11 14</c:v>
                  </c:pt>
                  <c:pt idx="207">
                    <c:v>2024-10-11 15</c:v>
                  </c:pt>
                  <c:pt idx="208">
                    <c:v>2024-10-11 16</c:v>
                  </c:pt>
                  <c:pt idx="209">
                    <c:v>2024-10-11 17</c:v>
                  </c:pt>
                  <c:pt idx="210">
                    <c:v>2024-10-11 18</c:v>
                  </c:pt>
                  <c:pt idx="211">
                    <c:v>2024-10-11 19</c:v>
                  </c:pt>
                  <c:pt idx="212">
                    <c:v>2024-10-11 20</c:v>
                  </c:pt>
                  <c:pt idx="213">
                    <c:v>2024-10-11 21</c:v>
                  </c:pt>
                  <c:pt idx="214">
                    <c:v>2024-10-11 22</c:v>
                  </c:pt>
                  <c:pt idx="215">
                    <c:v>2024-10-11 23</c:v>
                  </c:pt>
                  <c:pt idx="216">
                    <c:v>2024-10-14 00</c:v>
                  </c:pt>
                  <c:pt idx="217">
                    <c:v>2024-10-14 01</c:v>
                  </c:pt>
                  <c:pt idx="218">
                    <c:v>2024-10-14 02</c:v>
                  </c:pt>
                  <c:pt idx="219">
                    <c:v>2024-10-14 03</c:v>
                  </c:pt>
                  <c:pt idx="220">
                    <c:v>2024-10-14 04</c:v>
                  </c:pt>
                  <c:pt idx="221">
                    <c:v>2024-10-14 05</c:v>
                  </c:pt>
                  <c:pt idx="222">
                    <c:v>2024-10-14 06</c:v>
                  </c:pt>
                  <c:pt idx="223">
                    <c:v>2024-10-14 07</c:v>
                  </c:pt>
                  <c:pt idx="224">
                    <c:v>2024-10-14 08</c:v>
                  </c:pt>
                  <c:pt idx="225">
                    <c:v>2024-10-14 09</c:v>
                  </c:pt>
                  <c:pt idx="226">
                    <c:v>2024-10-14 10</c:v>
                  </c:pt>
                  <c:pt idx="227">
                    <c:v>2024-10-14 11</c:v>
                  </c:pt>
                  <c:pt idx="228">
                    <c:v>2024-10-14 12</c:v>
                  </c:pt>
                  <c:pt idx="229">
                    <c:v>2024-10-14 13</c:v>
                  </c:pt>
                  <c:pt idx="230">
                    <c:v>2024-10-14 14</c:v>
                  </c:pt>
                  <c:pt idx="231">
                    <c:v>2024-10-14 15</c:v>
                  </c:pt>
                  <c:pt idx="232">
                    <c:v>2024-10-14 16</c:v>
                  </c:pt>
                  <c:pt idx="233">
                    <c:v>2024-10-14 17</c:v>
                  </c:pt>
                  <c:pt idx="234">
                    <c:v>2024-10-14 18</c:v>
                  </c:pt>
                  <c:pt idx="235">
                    <c:v>2024-10-14 19</c:v>
                  </c:pt>
                  <c:pt idx="236">
                    <c:v>2024-10-14 20</c:v>
                  </c:pt>
                  <c:pt idx="237">
                    <c:v>2024-10-14 21</c:v>
                  </c:pt>
                  <c:pt idx="238">
                    <c:v>2024-10-14 22</c:v>
                  </c:pt>
                  <c:pt idx="239">
                    <c:v>2024-10-14 23</c:v>
                  </c:pt>
                  <c:pt idx="240">
                    <c:v>2024-10-15 00</c:v>
                  </c:pt>
                  <c:pt idx="241">
                    <c:v>2024-10-15 01</c:v>
                  </c:pt>
                  <c:pt idx="242">
                    <c:v>2024-10-15 02</c:v>
                  </c:pt>
                  <c:pt idx="243">
                    <c:v>2024-10-15 03</c:v>
                  </c:pt>
                  <c:pt idx="244">
                    <c:v>2024-10-15 04</c:v>
                  </c:pt>
                  <c:pt idx="245">
                    <c:v>2024-10-15 05</c:v>
                  </c:pt>
                  <c:pt idx="246">
                    <c:v>2024-10-15 06</c:v>
                  </c:pt>
                  <c:pt idx="247">
                    <c:v>2024-10-15 07</c:v>
                  </c:pt>
                  <c:pt idx="248">
                    <c:v>2024-10-15 08</c:v>
                  </c:pt>
                  <c:pt idx="249">
                    <c:v>2024-10-15 09</c:v>
                  </c:pt>
                  <c:pt idx="250">
                    <c:v>2024-10-15 10</c:v>
                  </c:pt>
                  <c:pt idx="251">
                    <c:v>2024-10-15 11</c:v>
                  </c:pt>
                  <c:pt idx="252">
                    <c:v>2024-10-15 12</c:v>
                  </c:pt>
                  <c:pt idx="253">
                    <c:v>2024-10-15 13</c:v>
                  </c:pt>
                  <c:pt idx="254">
                    <c:v>2024-10-15 14</c:v>
                  </c:pt>
                  <c:pt idx="255">
                    <c:v>2024-10-15 15</c:v>
                  </c:pt>
                  <c:pt idx="256">
                    <c:v>2024-10-15 16</c:v>
                  </c:pt>
                  <c:pt idx="257">
                    <c:v>2024-10-15 17</c:v>
                  </c:pt>
                  <c:pt idx="258">
                    <c:v>2024-10-15 18</c:v>
                  </c:pt>
                  <c:pt idx="259">
                    <c:v>2024-10-15 19</c:v>
                  </c:pt>
                  <c:pt idx="260">
                    <c:v>2024-10-15 20</c:v>
                  </c:pt>
                  <c:pt idx="261">
                    <c:v>2024-10-15 21</c:v>
                  </c:pt>
                  <c:pt idx="262">
                    <c:v>2024-10-15 22</c:v>
                  </c:pt>
                  <c:pt idx="263">
                    <c:v>2024-10-15 23</c:v>
                  </c:pt>
                  <c:pt idx="264">
                    <c:v>2024-10-16 00</c:v>
                  </c:pt>
                  <c:pt idx="265">
                    <c:v>2024-10-16 01</c:v>
                  </c:pt>
                  <c:pt idx="266">
                    <c:v>2024-10-16 02</c:v>
                  </c:pt>
                  <c:pt idx="267">
                    <c:v>2024-10-16 03</c:v>
                  </c:pt>
                  <c:pt idx="268">
                    <c:v>2024-10-16 04</c:v>
                  </c:pt>
                  <c:pt idx="269">
                    <c:v>2024-10-16 05</c:v>
                  </c:pt>
                  <c:pt idx="270">
                    <c:v>2024-10-16 06</c:v>
                  </c:pt>
                  <c:pt idx="271">
                    <c:v>2024-10-16 07</c:v>
                  </c:pt>
                  <c:pt idx="272">
                    <c:v>2024-10-16 08</c:v>
                  </c:pt>
                  <c:pt idx="273">
                    <c:v>2024-10-16 09</c:v>
                  </c:pt>
                  <c:pt idx="274">
                    <c:v>2024-10-16 10</c:v>
                  </c:pt>
                  <c:pt idx="275">
                    <c:v>2024-10-16 11</c:v>
                  </c:pt>
                  <c:pt idx="276">
                    <c:v>2024-10-16 12</c:v>
                  </c:pt>
                  <c:pt idx="277">
                    <c:v>2024-10-16 13</c:v>
                  </c:pt>
                  <c:pt idx="278">
                    <c:v>2024-10-16 14</c:v>
                  </c:pt>
                  <c:pt idx="279">
                    <c:v>2024-10-16 15</c:v>
                  </c:pt>
                  <c:pt idx="280">
                    <c:v>2024-10-16 16</c:v>
                  </c:pt>
                  <c:pt idx="281">
                    <c:v>2024-10-16 17</c:v>
                  </c:pt>
                  <c:pt idx="282">
                    <c:v>2024-10-16 18</c:v>
                  </c:pt>
                  <c:pt idx="283">
                    <c:v>2024-10-16 19</c:v>
                  </c:pt>
                  <c:pt idx="284">
                    <c:v>2024-10-16 20</c:v>
                  </c:pt>
                  <c:pt idx="285">
                    <c:v>2024-10-16 21</c:v>
                  </c:pt>
                  <c:pt idx="286">
                    <c:v>2024-10-16 22</c:v>
                  </c:pt>
                  <c:pt idx="287">
                    <c:v>2024-10-16 23</c:v>
                  </c:pt>
                  <c:pt idx="288">
                    <c:v>2024-10-17 00</c:v>
                  </c:pt>
                  <c:pt idx="289">
                    <c:v>2024-10-17 01</c:v>
                  </c:pt>
                  <c:pt idx="290">
                    <c:v>2024-10-17 02</c:v>
                  </c:pt>
                  <c:pt idx="291">
                    <c:v>2024-10-17 03</c:v>
                  </c:pt>
                  <c:pt idx="292">
                    <c:v>2024-10-17 04</c:v>
                  </c:pt>
                  <c:pt idx="293">
                    <c:v>2024-10-17 05</c:v>
                  </c:pt>
                  <c:pt idx="294">
                    <c:v>2024-10-17 06</c:v>
                  </c:pt>
                  <c:pt idx="295">
                    <c:v>2024-10-17 07</c:v>
                  </c:pt>
                  <c:pt idx="296">
                    <c:v>2024-10-17 08</c:v>
                  </c:pt>
                  <c:pt idx="297">
                    <c:v>2024-10-17 09</c:v>
                  </c:pt>
                  <c:pt idx="298">
                    <c:v>2024-10-17 10</c:v>
                  </c:pt>
                  <c:pt idx="299">
                    <c:v>2024-10-17 11</c:v>
                  </c:pt>
                  <c:pt idx="300">
                    <c:v>2024-10-17 12</c:v>
                  </c:pt>
                  <c:pt idx="301">
                    <c:v>2024-10-17 13</c:v>
                  </c:pt>
                  <c:pt idx="302">
                    <c:v>2024-10-17 14</c:v>
                  </c:pt>
                  <c:pt idx="303">
                    <c:v>2024-10-17 15</c:v>
                  </c:pt>
                  <c:pt idx="304">
                    <c:v>2024-10-17 16</c:v>
                  </c:pt>
                  <c:pt idx="305">
                    <c:v>2024-10-17 17</c:v>
                  </c:pt>
                  <c:pt idx="306">
                    <c:v>2024-10-17 18</c:v>
                  </c:pt>
                  <c:pt idx="307">
                    <c:v>2024-10-17 19</c:v>
                  </c:pt>
                  <c:pt idx="308">
                    <c:v>2024-10-17 20</c:v>
                  </c:pt>
                  <c:pt idx="309">
                    <c:v>2024-10-17 21</c:v>
                  </c:pt>
                  <c:pt idx="310">
                    <c:v>2024-10-17 22</c:v>
                  </c:pt>
                  <c:pt idx="311">
                    <c:v>2024-10-17 23</c:v>
                  </c:pt>
                  <c:pt idx="312">
                    <c:v>2024-10-18 00</c:v>
                  </c:pt>
                  <c:pt idx="313">
                    <c:v>2024-10-18 01</c:v>
                  </c:pt>
                  <c:pt idx="314">
                    <c:v>2024-10-18 02</c:v>
                  </c:pt>
                  <c:pt idx="315">
                    <c:v>2024-10-18 03</c:v>
                  </c:pt>
                  <c:pt idx="316">
                    <c:v>2024-10-18 04</c:v>
                  </c:pt>
                  <c:pt idx="317">
                    <c:v>2024-10-18 05</c:v>
                  </c:pt>
                  <c:pt idx="318">
                    <c:v>2024-10-18 06</c:v>
                  </c:pt>
                  <c:pt idx="319">
                    <c:v>2024-10-18 07</c:v>
                  </c:pt>
                  <c:pt idx="320">
                    <c:v>2024-10-18 08</c:v>
                  </c:pt>
                  <c:pt idx="321">
                    <c:v>2024-10-18 09</c:v>
                  </c:pt>
                  <c:pt idx="322">
                    <c:v>2024-10-18 10</c:v>
                  </c:pt>
                  <c:pt idx="323">
                    <c:v>2024-10-18 11</c:v>
                  </c:pt>
                  <c:pt idx="324">
                    <c:v>2024-10-18 12</c:v>
                  </c:pt>
                  <c:pt idx="325">
                    <c:v>2024-10-18 13</c:v>
                  </c:pt>
                  <c:pt idx="326">
                    <c:v>2024-10-18 14</c:v>
                  </c:pt>
                  <c:pt idx="327">
                    <c:v>2024-10-18 15</c:v>
                  </c:pt>
                  <c:pt idx="328">
                    <c:v>2024-10-18 16</c:v>
                  </c:pt>
                  <c:pt idx="329">
                    <c:v>2024-10-18 17</c:v>
                  </c:pt>
                  <c:pt idx="330">
                    <c:v>2024-10-18 18</c:v>
                  </c:pt>
                  <c:pt idx="331">
                    <c:v>2024-10-18 19</c:v>
                  </c:pt>
                  <c:pt idx="332">
                    <c:v>2024-10-18 20</c:v>
                  </c:pt>
                  <c:pt idx="333">
                    <c:v>2024-10-18 21</c:v>
                  </c:pt>
                  <c:pt idx="334">
                    <c:v>2024-10-18 22</c:v>
                  </c:pt>
                  <c:pt idx="335">
                    <c:v>2024-10-18 23</c:v>
                  </c:pt>
                  <c:pt idx="336">
                    <c:v>2024-10-21 00</c:v>
                  </c:pt>
                  <c:pt idx="337">
                    <c:v>2024-10-21 01</c:v>
                  </c:pt>
                  <c:pt idx="338">
                    <c:v>2024-10-21 02</c:v>
                  </c:pt>
                  <c:pt idx="339">
                    <c:v>2024-10-21 03</c:v>
                  </c:pt>
                  <c:pt idx="340">
                    <c:v>2024-10-21 04</c:v>
                  </c:pt>
                  <c:pt idx="341">
                    <c:v>2024-10-21 05</c:v>
                  </c:pt>
                  <c:pt idx="342">
                    <c:v>2024-10-21 06</c:v>
                  </c:pt>
                  <c:pt idx="343">
                    <c:v>2024-10-21 07</c:v>
                  </c:pt>
                  <c:pt idx="344">
                    <c:v>2024-10-21 08</c:v>
                  </c:pt>
                  <c:pt idx="345">
                    <c:v>2024-10-21 09</c:v>
                  </c:pt>
                  <c:pt idx="346">
                    <c:v>2024-10-21 10</c:v>
                  </c:pt>
                  <c:pt idx="347">
                    <c:v>2024-10-21 11</c:v>
                  </c:pt>
                  <c:pt idx="348">
                    <c:v>2024-10-21 12</c:v>
                  </c:pt>
                  <c:pt idx="349">
                    <c:v>2024-10-21 13</c:v>
                  </c:pt>
                  <c:pt idx="350">
                    <c:v>2024-10-21 14</c:v>
                  </c:pt>
                  <c:pt idx="351">
                    <c:v>2024-10-21 15</c:v>
                  </c:pt>
                  <c:pt idx="352">
                    <c:v>2024-10-21 16</c:v>
                  </c:pt>
                  <c:pt idx="353">
                    <c:v>2024-10-21 17</c:v>
                  </c:pt>
                  <c:pt idx="354">
                    <c:v>2024-10-21 18</c:v>
                  </c:pt>
                  <c:pt idx="355">
                    <c:v>2024-10-21 19</c:v>
                  </c:pt>
                  <c:pt idx="356">
                    <c:v>2024-10-21 20</c:v>
                  </c:pt>
                  <c:pt idx="357">
                    <c:v>2024-10-21 21</c:v>
                  </c:pt>
                  <c:pt idx="358">
                    <c:v>2024-10-21 22</c:v>
                  </c:pt>
                  <c:pt idx="359">
                    <c:v>2024-10-21 23</c:v>
                  </c:pt>
                  <c:pt idx="360">
                    <c:v>2024-10-22 00</c:v>
                  </c:pt>
                  <c:pt idx="361">
                    <c:v>2024-10-22 01</c:v>
                  </c:pt>
                  <c:pt idx="362">
                    <c:v>2024-10-22 02</c:v>
                  </c:pt>
                  <c:pt idx="363">
                    <c:v>2024-10-22 03</c:v>
                  </c:pt>
                  <c:pt idx="364">
                    <c:v>2024-10-22 04</c:v>
                  </c:pt>
                  <c:pt idx="365">
                    <c:v>2024-10-22 05</c:v>
                  </c:pt>
                  <c:pt idx="366">
                    <c:v>2024-10-22 06</c:v>
                  </c:pt>
                  <c:pt idx="367">
                    <c:v>2024-10-22 07</c:v>
                  </c:pt>
                  <c:pt idx="368">
                    <c:v>2024-10-22 08</c:v>
                  </c:pt>
                  <c:pt idx="369">
                    <c:v>2024-10-22 09</c:v>
                  </c:pt>
                  <c:pt idx="370">
                    <c:v>2024-10-22 10</c:v>
                  </c:pt>
                  <c:pt idx="371">
                    <c:v>2024-10-22 11</c:v>
                  </c:pt>
                  <c:pt idx="372">
                    <c:v>2024-10-22 12</c:v>
                  </c:pt>
                  <c:pt idx="373">
                    <c:v>2024-10-22 13</c:v>
                  </c:pt>
                  <c:pt idx="374">
                    <c:v>2024-10-22 14</c:v>
                  </c:pt>
                  <c:pt idx="375">
                    <c:v>2024-10-22 15</c:v>
                  </c:pt>
                  <c:pt idx="376">
                    <c:v>2024-10-22 16</c:v>
                  </c:pt>
                  <c:pt idx="377">
                    <c:v>2024-10-22 17</c:v>
                  </c:pt>
                  <c:pt idx="378">
                    <c:v>2024-10-22 18</c:v>
                  </c:pt>
                  <c:pt idx="379">
                    <c:v>2024-10-22 19</c:v>
                  </c:pt>
                  <c:pt idx="380">
                    <c:v>2024-10-22 20</c:v>
                  </c:pt>
                  <c:pt idx="381">
                    <c:v>2024-10-22 21</c:v>
                  </c:pt>
                  <c:pt idx="382">
                    <c:v>2024-10-22 22</c:v>
                  </c:pt>
                  <c:pt idx="383">
                    <c:v>2024-10-22 23</c:v>
                  </c:pt>
                  <c:pt idx="384">
                    <c:v>2024-10-23 00</c:v>
                  </c:pt>
                  <c:pt idx="385">
                    <c:v>2024-10-23 01</c:v>
                  </c:pt>
                  <c:pt idx="386">
                    <c:v>2024-10-23 02</c:v>
                  </c:pt>
                  <c:pt idx="387">
                    <c:v>2024-10-23 03</c:v>
                  </c:pt>
                  <c:pt idx="388">
                    <c:v>2024-10-23 04</c:v>
                  </c:pt>
                  <c:pt idx="389">
                    <c:v>2024-10-23 05</c:v>
                  </c:pt>
                  <c:pt idx="390">
                    <c:v>2024-10-23 06</c:v>
                  </c:pt>
                  <c:pt idx="391">
                    <c:v>2024-10-23 07</c:v>
                  </c:pt>
                  <c:pt idx="392">
                    <c:v>2024-10-23 08</c:v>
                  </c:pt>
                  <c:pt idx="393">
                    <c:v>2024-10-23 09</c:v>
                  </c:pt>
                  <c:pt idx="394">
                    <c:v>2024-10-23 10</c:v>
                  </c:pt>
                  <c:pt idx="395">
                    <c:v>2024-10-23 11</c:v>
                  </c:pt>
                  <c:pt idx="396">
                    <c:v>2024-10-23 12</c:v>
                  </c:pt>
                  <c:pt idx="397">
                    <c:v>2024-10-23 13</c:v>
                  </c:pt>
                  <c:pt idx="398">
                    <c:v>2024-10-23 14</c:v>
                  </c:pt>
                  <c:pt idx="399">
                    <c:v>2024-10-23 15</c:v>
                  </c:pt>
                  <c:pt idx="400">
                    <c:v>2024-10-23 16</c:v>
                  </c:pt>
                  <c:pt idx="401">
                    <c:v>2024-10-23 17</c:v>
                  </c:pt>
                  <c:pt idx="402">
                    <c:v>2024-10-23 18</c:v>
                  </c:pt>
                  <c:pt idx="403">
                    <c:v>2024-10-23 19</c:v>
                  </c:pt>
                  <c:pt idx="404">
                    <c:v>2024-10-23 20</c:v>
                  </c:pt>
                  <c:pt idx="405">
                    <c:v>2024-10-23 21</c:v>
                  </c:pt>
                  <c:pt idx="406">
                    <c:v>2024-10-23 22</c:v>
                  </c:pt>
                  <c:pt idx="407">
                    <c:v>2024-10-23 23</c:v>
                  </c:pt>
                  <c:pt idx="408">
                    <c:v>2024-10-24 00</c:v>
                  </c:pt>
                  <c:pt idx="409">
                    <c:v>2024-10-24 01</c:v>
                  </c:pt>
                  <c:pt idx="410">
                    <c:v>2024-10-24 02</c:v>
                  </c:pt>
                  <c:pt idx="411">
                    <c:v>2024-10-24 03</c:v>
                  </c:pt>
                  <c:pt idx="412">
                    <c:v>2024-10-24 04</c:v>
                  </c:pt>
                  <c:pt idx="413">
                    <c:v>2024-10-24 05</c:v>
                  </c:pt>
                  <c:pt idx="414">
                    <c:v>2024-10-24 06</c:v>
                  </c:pt>
                  <c:pt idx="415">
                    <c:v>2024-10-24 07</c:v>
                  </c:pt>
                  <c:pt idx="416">
                    <c:v>2024-10-24 08</c:v>
                  </c:pt>
                  <c:pt idx="417">
                    <c:v>2024-10-24 09</c:v>
                  </c:pt>
                  <c:pt idx="418">
                    <c:v>2024-10-24 10</c:v>
                  </c:pt>
                  <c:pt idx="419">
                    <c:v>2024-10-24 11</c:v>
                  </c:pt>
                  <c:pt idx="420">
                    <c:v>2024-10-24 12</c:v>
                  </c:pt>
                  <c:pt idx="421">
                    <c:v>2024-10-24 13</c:v>
                  </c:pt>
                  <c:pt idx="422">
                    <c:v>2024-10-24 14</c:v>
                  </c:pt>
                  <c:pt idx="423">
                    <c:v>2024-10-24 15</c:v>
                  </c:pt>
                  <c:pt idx="424">
                    <c:v>2024-10-24 16</c:v>
                  </c:pt>
                  <c:pt idx="425">
                    <c:v>2024-10-24 17</c:v>
                  </c:pt>
                  <c:pt idx="426">
                    <c:v>2024-10-24 18</c:v>
                  </c:pt>
                  <c:pt idx="427">
                    <c:v>2024-10-24 19</c:v>
                  </c:pt>
                  <c:pt idx="428">
                    <c:v>2024-10-24 20</c:v>
                  </c:pt>
                  <c:pt idx="429">
                    <c:v>2024-10-24 21</c:v>
                  </c:pt>
                  <c:pt idx="430">
                    <c:v>2024-10-24 22</c:v>
                  </c:pt>
                  <c:pt idx="431">
                    <c:v>2024-10-24 23</c:v>
                  </c:pt>
                  <c:pt idx="432">
                    <c:v>2024-10-25 00</c:v>
                  </c:pt>
                  <c:pt idx="433">
                    <c:v>2024-10-25 01</c:v>
                  </c:pt>
                  <c:pt idx="434">
                    <c:v>2024-10-25 02</c:v>
                  </c:pt>
                  <c:pt idx="435">
                    <c:v>2024-10-25 03</c:v>
                  </c:pt>
                  <c:pt idx="436">
                    <c:v>2024-10-25 04</c:v>
                  </c:pt>
                  <c:pt idx="437">
                    <c:v>2024-10-25 05</c:v>
                  </c:pt>
                  <c:pt idx="438">
                    <c:v>2024-10-25 06</c:v>
                  </c:pt>
                  <c:pt idx="439">
                    <c:v>2024-10-25 07</c:v>
                  </c:pt>
                  <c:pt idx="440">
                    <c:v>2024-10-25 08</c:v>
                  </c:pt>
                  <c:pt idx="441">
                    <c:v>2024-10-25 09</c:v>
                  </c:pt>
                  <c:pt idx="442">
                    <c:v>2024-10-25 10</c:v>
                  </c:pt>
                  <c:pt idx="443">
                    <c:v>2024-10-25 11</c:v>
                  </c:pt>
                  <c:pt idx="444">
                    <c:v>2024-10-25 12</c:v>
                  </c:pt>
                  <c:pt idx="445">
                    <c:v>2024-10-25 13</c:v>
                  </c:pt>
                  <c:pt idx="446">
                    <c:v>2024-10-25 14</c:v>
                  </c:pt>
                  <c:pt idx="447">
                    <c:v>2024-10-25 15</c:v>
                  </c:pt>
                  <c:pt idx="448">
                    <c:v>2024-10-25 16</c:v>
                  </c:pt>
                  <c:pt idx="449">
                    <c:v>2024-10-25 17</c:v>
                  </c:pt>
                  <c:pt idx="450">
                    <c:v>2024-10-25 18</c:v>
                  </c:pt>
                  <c:pt idx="451">
                    <c:v>2024-10-25 19</c:v>
                  </c:pt>
                  <c:pt idx="452">
                    <c:v>2024-10-25 20</c:v>
                  </c:pt>
                  <c:pt idx="453">
                    <c:v>2024-10-25 21</c:v>
                  </c:pt>
                  <c:pt idx="454">
                    <c:v>2024-10-25 22</c:v>
                  </c:pt>
                  <c:pt idx="455">
                    <c:v>2024-10-25 23</c:v>
                  </c:pt>
                  <c:pt idx="456">
                    <c:v>2024-10-28 00</c:v>
                  </c:pt>
                  <c:pt idx="457">
                    <c:v>2024-10-28 01</c:v>
                  </c:pt>
                  <c:pt idx="458">
                    <c:v>2024-10-28 02</c:v>
                  </c:pt>
                  <c:pt idx="459">
                    <c:v>2024-10-28 03</c:v>
                  </c:pt>
                  <c:pt idx="460">
                    <c:v>2024-10-28 04</c:v>
                  </c:pt>
                  <c:pt idx="461">
                    <c:v>2024-10-28 05</c:v>
                  </c:pt>
                  <c:pt idx="462">
                    <c:v>2024-10-28 06</c:v>
                  </c:pt>
                  <c:pt idx="463">
                    <c:v>2024-10-28 07</c:v>
                  </c:pt>
                  <c:pt idx="464">
                    <c:v>2024-10-28 08</c:v>
                  </c:pt>
                  <c:pt idx="465">
                    <c:v>2024-10-28 09</c:v>
                  </c:pt>
                  <c:pt idx="466">
                    <c:v>2024-10-28 10</c:v>
                  </c:pt>
                  <c:pt idx="467">
                    <c:v>2024-10-28 11</c:v>
                  </c:pt>
                  <c:pt idx="468">
                    <c:v>2024-10-28 12</c:v>
                  </c:pt>
                  <c:pt idx="469">
                    <c:v>2024-10-28 13</c:v>
                  </c:pt>
                  <c:pt idx="470">
                    <c:v>2024-10-28 14</c:v>
                  </c:pt>
                  <c:pt idx="471">
                    <c:v>2024-10-28 15</c:v>
                  </c:pt>
                  <c:pt idx="472">
                    <c:v>2024-10-28 16</c:v>
                  </c:pt>
                  <c:pt idx="473">
                    <c:v>2024-10-28 17</c:v>
                  </c:pt>
                  <c:pt idx="474">
                    <c:v>2024-10-28 18</c:v>
                  </c:pt>
                  <c:pt idx="475">
                    <c:v>2024-10-28 19</c:v>
                  </c:pt>
                  <c:pt idx="476">
                    <c:v>2024-10-28 20</c:v>
                  </c:pt>
                  <c:pt idx="477">
                    <c:v>2024-10-28 21</c:v>
                  </c:pt>
                  <c:pt idx="478">
                    <c:v>2024-10-28 22</c:v>
                  </c:pt>
                  <c:pt idx="479">
                    <c:v>2024-10-28 23</c:v>
                  </c:pt>
                  <c:pt idx="480">
                    <c:v>2024-10-29 00</c:v>
                  </c:pt>
                  <c:pt idx="481">
                    <c:v>2024-10-29 01</c:v>
                  </c:pt>
                  <c:pt idx="482">
                    <c:v>2024-10-29 02</c:v>
                  </c:pt>
                  <c:pt idx="483">
                    <c:v>2024-10-29 03</c:v>
                  </c:pt>
                  <c:pt idx="484">
                    <c:v>2024-10-29 04</c:v>
                  </c:pt>
                  <c:pt idx="485">
                    <c:v>2024-10-29 05</c:v>
                  </c:pt>
                  <c:pt idx="486">
                    <c:v>2024-10-29 06</c:v>
                  </c:pt>
                  <c:pt idx="487">
                    <c:v>2024-10-29 07</c:v>
                  </c:pt>
                  <c:pt idx="488">
                    <c:v>2024-10-29 08</c:v>
                  </c:pt>
                  <c:pt idx="489">
                    <c:v>2024-10-29 09</c:v>
                  </c:pt>
                  <c:pt idx="490">
                    <c:v>2024-10-29 10</c:v>
                  </c:pt>
                  <c:pt idx="491">
                    <c:v>2024-10-29 11</c:v>
                  </c:pt>
                  <c:pt idx="492">
                    <c:v>2024-10-29 12</c:v>
                  </c:pt>
                  <c:pt idx="493">
                    <c:v>2024-10-29 13</c:v>
                  </c:pt>
                  <c:pt idx="494">
                    <c:v>2024-10-29 14</c:v>
                  </c:pt>
                  <c:pt idx="495">
                    <c:v>2024-10-29 15</c:v>
                  </c:pt>
                  <c:pt idx="496">
                    <c:v>2024-10-29 16</c:v>
                  </c:pt>
                  <c:pt idx="497">
                    <c:v>2024-10-29 17</c:v>
                  </c:pt>
                  <c:pt idx="498">
                    <c:v>2024-10-29 18</c:v>
                  </c:pt>
                  <c:pt idx="499">
                    <c:v>2024-10-29 19</c:v>
                  </c:pt>
                  <c:pt idx="500">
                    <c:v>2024-10-29 20</c:v>
                  </c:pt>
                  <c:pt idx="501">
                    <c:v>2024-10-29 21</c:v>
                  </c:pt>
                  <c:pt idx="502">
                    <c:v>2024-10-29 22</c:v>
                  </c:pt>
                  <c:pt idx="503">
                    <c:v>2024-10-29 23</c:v>
                  </c:pt>
                  <c:pt idx="504">
                    <c:v>2024-10-30 00</c:v>
                  </c:pt>
                  <c:pt idx="505">
                    <c:v>2024-10-30 01</c:v>
                  </c:pt>
                  <c:pt idx="506">
                    <c:v>2024-10-30 02</c:v>
                  </c:pt>
                  <c:pt idx="507">
                    <c:v>2024-10-30 03</c:v>
                  </c:pt>
                  <c:pt idx="508">
                    <c:v>2024-10-30 04</c:v>
                  </c:pt>
                  <c:pt idx="509">
                    <c:v>2024-10-30 05</c:v>
                  </c:pt>
                  <c:pt idx="510">
                    <c:v>2024-10-30 06</c:v>
                  </c:pt>
                  <c:pt idx="511">
                    <c:v>2024-10-30 07</c:v>
                  </c:pt>
                  <c:pt idx="512">
                    <c:v>2024-10-30 08</c:v>
                  </c:pt>
                  <c:pt idx="513">
                    <c:v>2024-10-30 09</c:v>
                  </c:pt>
                  <c:pt idx="514">
                    <c:v>2024-10-30 10</c:v>
                  </c:pt>
                  <c:pt idx="515">
                    <c:v>2024-10-30 11</c:v>
                  </c:pt>
                  <c:pt idx="516">
                    <c:v>2024-10-30 12</c:v>
                  </c:pt>
                  <c:pt idx="517">
                    <c:v>2024-10-30 13</c:v>
                  </c:pt>
                  <c:pt idx="518">
                    <c:v>2024-10-30 14</c:v>
                  </c:pt>
                  <c:pt idx="519">
                    <c:v>2024-10-30 15</c:v>
                  </c:pt>
                  <c:pt idx="520">
                    <c:v>2024-10-30 16</c:v>
                  </c:pt>
                  <c:pt idx="521">
                    <c:v>2024-10-30 17</c:v>
                  </c:pt>
                  <c:pt idx="522">
                    <c:v>2024-10-30 18</c:v>
                  </c:pt>
                  <c:pt idx="523">
                    <c:v>2024-10-30 19</c:v>
                  </c:pt>
                  <c:pt idx="524">
                    <c:v>2024-10-30 20</c:v>
                  </c:pt>
                  <c:pt idx="525">
                    <c:v>2024-10-30 21</c:v>
                  </c:pt>
                  <c:pt idx="526">
                    <c:v>2024-10-30 22</c:v>
                  </c:pt>
                  <c:pt idx="527">
                    <c:v>2024-10-30 23</c:v>
                  </c:pt>
                  <c:pt idx="528">
                    <c:v>2024-10-31 00</c:v>
                  </c:pt>
                  <c:pt idx="529">
                    <c:v>2024-10-31 01</c:v>
                  </c:pt>
                  <c:pt idx="530">
                    <c:v>2024-10-31 02</c:v>
                  </c:pt>
                  <c:pt idx="531">
                    <c:v>2024-10-31 03</c:v>
                  </c:pt>
                  <c:pt idx="532">
                    <c:v>2024-10-31 04</c:v>
                  </c:pt>
                  <c:pt idx="533">
                    <c:v>2024-10-31 00</c:v>
                  </c:pt>
                  <c:pt idx="534">
                    <c:v>2024-10-31 01</c:v>
                  </c:pt>
                  <c:pt idx="535">
                    <c:v>2024-10-31 02</c:v>
                  </c:pt>
                  <c:pt idx="536">
                    <c:v>2024-10-31 03</c:v>
                  </c:pt>
                  <c:pt idx="537">
                    <c:v>2024-10-31 04</c:v>
                  </c:pt>
                  <c:pt idx="538">
                    <c:v>2024-10-31 05</c:v>
                  </c:pt>
                  <c:pt idx="539">
                    <c:v>2024-10-31 06</c:v>
                  </c:pt>
                  <c:pt idx="540">
                    <c:v>2024-10-31 07</c:v>
                  </c:pt>
                  <c:pt idx="541">
                    <c:v>2024-10-31 08</c:v>
                  </c:pt>
                  <c:pt idx="542">
                    <c:v>2024-10-31 09</c:v>
                  </c:pt>
                  <c:pt idx="543">
                    <c:v>2024-10-31 10</c:v>
                  </c:pt>
                  <c:pt idx="544">
                    <c:v>2024-10-31 11</c:v>
                  </c:pt>
                  <c:pt idx="545">
                    <c:v>2024-10-31 12</c:v>
                  </c:pt>
                  <c:pt idx="546">
                    <c:v>2024-10-31 13</c:v>
                  </c:pt>
                  <c:pt idx="547">
                    <c:v>2024-10-31 14</c:v>
                  </c:pt>
                  <c:pt idx="548">
                    <c:v>2024-10-31 15</c:v>
                  </c:pt>
                  <c:pt idx="549">
                    <c:v>2024-10-31 16</c:v>
                  </c:pt>
                  <c:pt idx="550">
                    <c:v>2024-10-31 17</c:v>
                  </c:pt>
                  <c:pt idx="551">
                    <c:v>2024-10-31 18</c:v>
                  </c:pt>
                  <c:pt idx="552">
                    <c:v>2024-10-31 19</c:v>
                  </c:pt>
                  <c:pt idx="553">
                    <c:v>2024-10-31 20</c:v>
                  </c:pt>
                  <c:pt idx="554">
                    <c:v>2024-10-31 21</c:v>
                  </c:pt>
                  <c:pt idx="555">
                    <c:v>2024-10-31 22</c:v>
                  </c:pt>
                  <c:pt idx="556">
                    <c:v>2024-10-31 23</c:v>
                  </c:pt>
                </c:lvl>
              </c:multiLvlStrCache>
            </c:multiLvlStrRef>
          </c:cat>
          <c:val>
            <c:numRef>
              <c:f>Основная_таблица!$C$2:$C$750</c:f>
              <c:numCache>
                <c:formatCode>General</c:formatCode>
                <c:ptCount val="557"/>
                <c:pt idx="0">
                  <c:v>156</c:v>
                </c:pt>
                <c:pt idx="1">
                  <c:v>237</c:v>
                </c:pt>
                <c:pt idx="2">
                  <c:v>191</c:v>
                </c:pt>
                <c:pt idx="3">
                  <c:v>296</c:v>
                </c:pt>
                <c:pt idx="4">
                  <c:v>42</c:v>
                </c:pt>
                <c:pt idx="5">
                  <c:v>64</c:v>
                </c:pt>
                <c:pt idx="6">
                  <c:v>639</c:v>
                </c:pt>
                <c:pt idx="7">
                  <c:v>472</c:v>
                </c:pt>
                <c:pt idx="8">
                  <c:v>422</c:v>
                </c:pt>
                <c:pt idx="9">
                  <c:v>319</c:v>
                </c:pt>
                <c:pt idx="10">
                  <c:v>102</c:v>
                </c:pt>
                <c:pt idx="11">
                  <c:v>580</c:v>
                </c:pt>
                <c:pt idx="12">
                  <c:v>215</c:v>
                </c:pt>
                <c:pt idx="13">
                  <c:v>375</c:v>
                </c:pt>
                <c:pt idx="14">
                  <c:v>21</c:v>
                </c:pt>
                <c:pt idx="15">
                  <c:v>92</c:v>
                </c:pt>
                <c:pt idx="16">
                  <c:v>529</c:v>
                </c:pt>
                <c:pt idx="17">
                  <c:v>582</c:v>
                </c:pt>
                <c:pt idx="18">
                  <c:v>621</c:v>
                </c:pt>
                <c:pt idx="19">
                  <c:v>166</c:v>
                </c:pt>
                <c:pt idx="20">
                  <c:v>29</c:v>
                </c:pt>
                <c:pt idx="21">
                  <c:v>610</c:v>
                </c:pt>
                <c:pt idx="22">
                  <c:v>458</c:v>
                </c:pt>
                <c:pt idx="23">
                  <c:v>603</c:v>
                </c:pt>
                <c:pt idx="24">
                  <c:v>598</c:v>
                </c:pt>
                <c:pt idx="25">
                  <c:v>211</c:v>
                </c:pt>
                <c:pt idx="26">
                  <c:v>101</c:v>
                </c:pt>
                <c:pt idx="27">
                  <c:v>146</c:v>
                </c:pt>
                <c:pt idx="28">
                  <c:v>138</c:v>
                </c:pt>
                <c:pt idx="29">
                  <c:v>304</c:v>
                </c:pt>
                <c:pt idx="30">
                  <c:v>150</c:v>
                </c:pt>
                <c:pt idx="31">
                  <c:v>545</c:v>
                </c:pt>
                <c:pt idx="32">
                  <c:v>506</c:v>
                </c:pt>
                <c:pt idx="33">
                  <c:v>219</c:v>
                </c:pt>
                <c:pt idx="34">
                  <c:v>91</c:v>
                </c:pt>
                <c:pt idx="35">
                  <c:v>55</c:v>
                </c:pt>
                <c:pt idx="36">
                  <c:v>403</c:v>
                </c:pt>
                <c:pt idx="37">
                  <c:v>516</c:v>
                </c:pt>
                <c:pt idx="38">
                  <c:v>284</c:v>
                </c:pt>
                <c:pt idx="39">
                  <c:v>287</c:v>
                </c:pt>
                <c:pt idx="40">
                  <c:v>257</c:v>
                </c:pt>
                <c:pt idx="41">
                  <c:v>444</c:v>
                </c:pt>
                <c:pt idx="42">
                  <c:v>410</c:v>
                </c:pt>
                <c:pt idx="43">
                  <c:v>617</c:v>
                </c:pt>
                <c:pt idx="44">
                  <c:v>611</c:v>
                </c:pt>
                <c:pt idx="45">
                  <c:v>240</c:v>
                </c:pt>
                <c:pt idx="46">
                  <c:v>129</c:v>
                </c:pt>
                <c:pt idx="47">
                  <c:v>504</c:v>
                </c:pt>
                <c:pt idx="48">
                  <c:v>409</c:v>
                </c:pt>
                <c:pt idx="49">
                  <c:v>333</c:v>
                </c:pt>
                <c:pt idx="50">
                  <c:v>186</c:v>
                </c:pt>
                <c:pt idx="51">
                  <c:v>354</c:v>
                </c:pt>
                <c:pt idx="52">
                  <c:v>470</c:v>
                </c:pt>
                <c:pt idx="53">
                  <c:v>175</c:v>
                </c:pt>
                <c:pt idx="54">
                  <c:v>290</c:v>
                </c:pt>
                <c:pt idx="55">
                  <c:v>174</c:v>
                </c:pt>
                <c:pt idx="56">
                  <c:v>76</c:v>
                </c:pt>
                <c:pt idx="57">
                  <c:v>162</c:v>
                </c:pt>
                <c:pt idx="58">
                  <c:v>182</c:v>
                </c:pt>
                <c:pt idx="59">
                  <c:v>248</c:v>
                </c:pt>
                <c:pt idx="60">
                  <c:v>423</c:v>
                </c:pt>
                <c:pt idx="61">
                  <c:v>178</c:v>
                </c:pt>
                <c:pt idx="62">
                  <c:v>550</c:v>
                </c:pt>
                <c:pt idx="63">
                  <c:v>474</c:v>
                </c:pt>
                <c:pt idx="64">
                  <c:v>575</c:v>
                </c:pt>
                <c:pt idx="65">
                  <c:v>385</c:v>
                </c:pt>
                <c:pt idx="66">
                  <c:v>238</c:v>
                </c:pt>
                <c:pt idx="67">
                  <c:v>326</c:v>
                </c:pt>
                <c:pt idx="68">
                  <c:v>246</c:v>
                </c:pt>
                <c:pt idx="69">
                  <c:v>344</c:v>
                </c:pt>
                <c:pt idx="70">
                  <c:v>594</c:v>
                </c:pt>
                <c:pt idx="71">
                  <c:v>856</c:v>
                </c:pt>
                <c:pt idx="72">
                  <c:v>503</c:v>
                </c:pt>
                <c:pt idx="73">
                  <c:v>62</c:v>
                </c:pt>
                <c:pt idx="74">
                  <c:v>41</c:v>
                </c:pt>
                <c:pt idx="75">
                  <c:v>635</c:v>
                </c:pt>
                <c:pt idx="76">
                  <c:v>6</c:v>
                </c:pt>
                <c:pt idx="77">
                  <c:v>23</c:v>
                </c:pt>
                <c:pt idx="78">
                  <c:v>271</c:v>
                </c:pt>
                <c:pt idx="79">
                  <c:v>96</c:v>
                </c:pt>
                <c:pt idx="80">
                  <c:v>307</c:v>
                </c:pt>
                <c:pt idx="81">
                  <c:v>349</c:v>
                </c:pt>
                <c:pt idx="82">
                  <c:v>97</c:v>
                </c:pt>
                <c:pt idx="83">
                  <c:v>274</c:v>
                </c:pt>
                <c:pt idx="84">
                  <c:v>4</c:v>
                </c:pt>
                <c:pt idx="85">
                  <c:v>60</c:v>
                </c:pt>
                <c:pt idx="86">
                  <c:v>568</c:v>
                </c:pt>
                <c:pt idx="87">
                  <c:v>396</c:v>
                </c:pt>
                <c:pt idx="88">
                  <c:v>158</c:v>
                </c:pt>
                <c:pt idx="89">
                  <c:v>608</c:v>
                </c:pt>
                <c:pt idx="90">
                  <c:v>493</c:v>
                </c:pt>
                <c:pt idx="91">
                  <c:v>98</c:v>
                </c:pt>
                <c:pt idx="92">
                  <c:v>333</c:v>
                </c:pt>
                <c:pt idx="93">
                  <c:v>186</c:v>
                </c:pt>
                <c:pt idx="94">
                  <c:v>354</c:v>
                </c:pt>
                <c:pt idx="95">
                  <c:v>470</c:v>
                </c:pt>
                <c:pt idx="96">
                  <c:v>434</c:v>
                </c:pt>
                <c:pt idx="97">
                  <c:v>169</c:v>
                </c:pt>
                <c:pt idx="98">
                  <c:v>356</c:v>
                </c:pt>
                <c:pt idx="99">
                  <c:v>245</c:v>
                </c:pt>
                <c:pt idx="100">
                  <c:v>596</c:v>
                </c:pt>
                <c:pt idx="101">
                  <c:v>309</c:v>
                </c:pt>
                <c:pt idx="102">
                  <c:v>475</c:v>
                </c:pt>
                <c:pt idx="103">
                  <c:v>361</c:v>
                </c:pt>
                <c:pt idx="104">
                  <c:v>563</c:v>
                </c:pt>
                <c:pt idx="105">
                  <c:v>527</c:v>
                </c:pt>
                <c:pt idx="106">
                  <c:v>584</c:v>
                </c:pt>
                <c:pt idx="107">
                  <c:v>58</c:v>
                </c:pt>
                <c:pt idx="108">
                  <c:v>536</c:v>
                </c:pt>
                <c:pt idx="109">
                  <c:v>622</c:v>
                </c:pt>
                <c:pt idx="110">
                  <c:v>501</c:v>
                </c:pt>
                <c:pt idx="111">
                  <c:v>293</c:v>
                </c:pt>
                <c:pt idx="112">
                  <c:v>252</c:v>
                </c:pt>
                <c:pt idx="113">
                  <c:v>256</c:v>
                </c:pt>
                <c:pt idx="114">
                  <c:v>20</c:v>
                </c:pt>
                <c:pt idx="115">
                  <c:v>209</c:v>
                </c:pt>
                <c:pt idx="116">
                  <c:v>417</c:v>
                </c:pt>
                <c:pt idx="117">
                  <c:v>374</c:v>
                </c:pt>
                <c:pt idx="118">
                  <c:v>389</c:v>
                </c:pt>
                <c:pt idx="119">
                  <c:v>262</c:v>
                </c:pt>
                <c:pt idx="120">
                  <c:v>399</c:v>
                </c:pt>
                <c:pt idx="121">
                  <c:v>539</c:v>
                </c:pt>
                <c:pt idx="122">
                  <c:v>534</c:v>
                </c:pt>
                <c:pt idx="123">
                  <c:v>230</c:v>
                </c:pt>
                <c:pt idx="124">
                  <c:v>438</c:v>
                </c:pt>
                <c:pt idx="125">
                  <c:v>515</c:v>
                </c:pt>
                <c:pt idx="126">
                  <c:v>118</c:v>
                </c:pt>
                <c:pt idx="127">
                  <c:v>555</c:v>
                </c:pt>
                <c:pt idx="128">
                  <c:v>79</c:v>
                </c:pt>
                <c:pt idx="129">
                  <c:v>68</c:v>
                </c:pt>
                <c:pt idx="130">
                  <c:v>513</c:v>
                </c:pt>
                <c:pt idx="131">
                  <c:v>46</c:v>
                </c:pt>
                <c:pt idx="132">
                  <c:v>465</c:v>
                </c:pt>
                <c:pt idx="133">
                  <c:v>235</c:v>
                </c:pt>
                <c:pt idx="134">
                  <c:v>384</c:v>
                </c:pt>
                <c:pt idx="135">
                  <c:v>164</c:v>
                </c:pt>
                <c:pt idx="136">
                  <c:v>216</c:v>
                </c:pt>
                <c:pt idx="137">
                  <c:v>426</c:v>
                </c:pt>
                <c:pt idx="138">
                  <c:v>502</c:v>
                </c:pt>
                <c:pt idx="139">
                  <c:v>149</c:v>
                </c:pt>
                <c:pt idx="140">
                  <c:v>425</c:v>
                </c:pt>
                <c:pt idx="141">
                  <c:v>462</c:v>
                </c:pt>
                <c:pt idx="142">
                  <c:v>196</c:v>
                </c:pt>
                <c:pt idx="143">
                  <c:v>88</c:v>
                </c:pt>
                <c:pt idx="144">
                  <c:v>188</c:v>
                </c:pt>
                <c:pt idx="145">
                  <c:v>590</c:v>
                </c:pt>
                <c:pt idx="146">
                  <c:v>355</c:v>
                </c:pt>
                <c:pt idx="147">
                  <c:v>218</c:v>
                </c:pt>
                <c:pt idx="148">
                  <c:v>619</c:v>
                </c:pt>
                <c:pt idx="149">
                  <c:v>28</c:v>
                </c:pt>
                <c:pt idx="150">
                  <c:v>538</c:v>
                </c:pt>
                <c:pt idx="151">
                  <c:v>407</c:v>
                </c:pt>
                <c:pt idx="152">
                  <c:v>553</c:v>
                </c:pt>
                <c:pt idx="153">
                  <c:v>561</c:v>
                </c:pt>
                <c:pt idx="154">
                  <c:v>139</c:v>
                </c:pt>
                <c:pt idx="155">
                  <c:v>128</c:v>
                </c:pt>
                <c:pt idx="156">
                  <c:v>436</c:v>
                </c:pt>
                <c:pt idx="157">
                  <c:v>179</c:v>
                </c:pt>
                <c:pt idx="158">
                  <c:v>433</c:v>
                </c:pt>
                <c:pt idx="159">
                  <c:v>331</c:v>
                </c:pt>
                <c:pt idx="160">
                  <c:v>322</c:v>
                </c:pt>
                <c:pt idx="161">
                  <c:v>77</c:v>
                </c:pt>
                <c:pt idx="162">
                  <c:v>263</c:v>
                </c:pt>
                <c:pt idx="163">
                  <c:v>86</c:v>
                </c:pt>
                <c:pt idx="164">
                  <c:v>526</c:v>
                </c:pt>
                <c:pt idx="165">
                  <c:v>587</c:v>
                </c:pt>
                <c:pt idx="166">
                  <c:v>9</c:v>
                </c:pt>
                <c:pt idx="167">
                  <c:v>124</c:v>
                </c:pt>
                <c:pt idx="168">
                  <c:v>572</c:v>
                </c:pt>
                <c:pt idx="169">
                  <c:v>80</c:v>
                </c:pt>
                <c:pt idx="170">
                  <c:v>170</c:v>
                </c:pt>
                <c:pt idx="171">
                  <c:v>599</c:v>
                </c:pt>
                <c:pt idx="172">
                  <c:v>85</c:v>
                </c:pt>
                <c:pt idx="173">
                  <c:v>556</c:v>
                </c:pt>
                <c:pt idx="174">
                  <c:v>463</c:v>
                </c:pt>
                <c:pt idx="175">
                  <c:v>588</c:v>
                </c:pt>
                <c:pt idx="176">
                  <c:v>316</c:v>
                </c:pt>
                <c:pt idx="177">
                  <c:v>483</c:v>
                </c:pt>
                <c:pt idx="178">
                  <c:v>336</c:v>
                </c:pt>
                <c:pt idx="179">
                  <c:v>402</c:v>
                </c:pt>
                <c:pt idx="180">
                  <c:v>523</c:v>
                </c:pt>
                <c:pt idx="181">
                  <c:v>589</c:v>
                </c:pt>
                <c:pt idx="182">
                  <c:v>24</c:v>
                </c:pt>
                <c:pt idx="183">
                  <c:v>380</c:v>
                </c:pt>
                <c:pt idx="184">
                  <c:v>573</c:v>
                </c:pt>
                <c:pt idx="185">
                  <c:v>533</c:v>
                </c:pt>
                <c:pt idx="186">
                  <c:v>120</c:v>
                </c:pt>
                <c:pt idx="187">
                  <c:v>574</c:v>
                </c:pt>
                <c:pt idx="188">
                  <c:v>312</c:v>
                </c:pt>
                <c:pt idx="189">
                  <c:v>510</c:v>
                </c:pt>
                <c:pt idx="190">
                  <c:v>408</c:v>
                </c:pt>
                <c:pt idx="191">
                  <c:v>155</c:v>
                </c:pt>
                <c:pt idx="192">
                  <c:v>390</c:v>
                </c:pt>
                <c:pt idx="193">
                  <c:v>251</c:v>
                </c:pt>
                <c:pt idx="194">
                  <c:v>401</c:v>
                </c:pt>
                <c:pt idx="195">
                  <c:v>5</c:v>
                </c:pt>
                <c:pt idx="196">
                  <c:v>53</c:v>
                </c:pt>
                <c:pt idx="197">
                  <c:v>121</c:v>
                </c:pt>
                <c:pt idx="198">
                  <c:v>431</c:v>
                </c:pt>
                <c:pt idx="199">
                  <c:v>199</c:v>
                </c:pt>
                <c:pt idx="200">
                  <c:v>89</c:v>
                </c:pt>
                <c:pt idx="201">
                  <c:v>292</c:v>
                </c:pt>
                <c:pt idx="202">
                  <c:v>508</c:v>
                </c:pt>
                <c:pt idx="203">
                  <c:v>275</c:v>
                </c:pt>
                <c:pt idx="204">
                  <c:v>520</c:v>
                </c:pt>
                <c:pt idx="205">
                  <c:v>378</c:v>
                </c:pt>
                <c:pt idx="206">
                  <c:v>624</c:v>
                </c:pt>
                <c:pt idx="207">
                  <c:v>73</c:v>
                </c:pt>
                <c:pt idx="208">
                  <c:v>569</c:v>
                </c:pt>
                <c:pt idx="209">
                  <c:v>634</c:v>
                </c:pt>
                <c:pt idx="210">
                  <c:v>27</c:v>
                </c:pt>
                <c:pt idx="211">
                  <c:v>642</c:v>
                </c:pt>
                <c:pt idx="212">
                  <c:v>201</c:v>
                </c:pt>
                <c:pt idx="213">
                  <c:v>266</c:v>
                </c:pt>
                <c:pt idx="214">
                  <c:v>512</c:v>
                </c:pt>
                <c:pt idx="215">
                  <c:v>154</c:v>
                </c:pt>
                <c:pt idx="216">
                  <c:v>394</c:v>
                </c:pt>
                <c:pt idx="217">
                  <c:v>566</c:v>
                </c:pt>
                <c:pt idx="218">
                  <c:v>497</c:v>
                </c:pt>
                <c:pt idx="219">
                  <c:v>419</c:v>
                </c:pt>
                <c:pt idx="220">
                  <c:v>530</c:v>
                </c:pt>
                <c:pt idx="221">
                  <c:v>224</c:v>
                </c:pt>
                <c:pt idx="222">
                  <c:v>177</c:v>
                </c:pt>
                <c:pt idx="223">
                  <c:v>153</c:v>
                </c:pt>
                <c:pt idx="224">
                  <c:v>637</c:v>
                </c:pt>
                <c:pt idx="225">
                  <c:v>56</c:v>
                </c:pt>
                <c:pt idx="226">
                  <c:v>477</c:v>
                </c:pt>
                <c:pt idx="227">
                  <c:v>398</c:v>
                </c:pt>
                <c:pt idx="228">
                  <c:v>416</c:v>
                </c:pt>
                <c:pt idx="229">
                  <c:v>558</c:v>
                </c:pt>
                <c:pt idx="230">
                  <c:v>329</c:v>
                </c:pt>
                <c:pt idx="231">
                  <c:v>300</c:v>
                </c:pt>
                <c:pt idx="232">
                  <c:v>145</c:v>
                </c:pt>
                <c:pt idx="233">
                  <c:v>452</c:v>
                </c:pt>
                <c:pt idx="234">
                  <c:v>577</c:v>
                </c:pt>
                <c:pt idx="235">
                  <c:v>511</c:v>
                </c:pt>
                <c:pt idx="236">
                  <c:v>543</c:v>
                </c:pt>
                <c:pt idx="237">
                  <c:v>372</c:v>
                </c:pt>
                <c:pt idx="238">
                  <c:v>183</c:v>
                </c:pt>
                <c:pt idx="239">
                  <c:v>392</c:v>
                </c:pt>
                <c:pt idx="240">
                  <c:v>460</c:v>
                </c:pt>
                <c:pt idx="241">
                  <c:v>112</c:v>
                </c:pt>
                <c:pt idx="242">
                  <c:v>103</c:v>
                </c:pt>
                <c:pt idx="243">
                  <c:v>633</c:v>
                </c:pt>
                <c:pt idx="244">
                  <c:v>541</c:v>
                </c:pt>
                <c:pt idx="245">
                  <c:v>265</c:v>
                </c:pt>
                <c:pt idx="246">
                  <c:v>17</c:v>
                </c:pt>
                <c:pt idx="247">
                  <c:v>406</c:v>
                </c:pt>
                <c:pt idx="248">
                  <c:v>476</c:v>
                </c:pt>
                <c:pt idx="249">
                  <c:v>632</c:v>
                </c:pt>
                <c:pt idx="250">
                  <c:v>192</c:v>
                </c:pt>
                <c:pt idx="251">
                  <c:v>247</c:v>
                </c:pt>
                <c:pt idx="252">
                  <c:v>638</c:v>
                </c:pt>
                <c:pt idx="253">
                  <c:v>341</c:v>
                </c:pt>
                <c:pt idx="254">
                  <c:v>109</c:v>
                </c:pt>
                <c:pt idx="255">
                  <c:v>440</c:v>
                </c:pt>
                <c:pt idx="256">
                  <c:v>544</c:v>
                </c:pt>
                <c:pt idx="257">
                  <c:v>75</c:v>
                </c:pt>
                <c:pt idx="258">
                  <c:v>227</c:v>
                </c:pt>
                <c:pt idx="259">
                  <c:v>210</c:v>
                </c:pt>
                <c:pt idx="260">
                  <c:v>277</c:v>
                </c:pt>
                <c:pt idx="261">
                  <c:v>93</c:v>
                </c:pt>
                <c:pt idx="262">
                  <c:v>626</c:v>
                </c:pt>
                <c:pt idx="263">
                  <c:v>157</c:v>
                </c:pt>
                <c:pt idx="264">
                  <c:v>104</c:v>
                </c:pt>
                <c:pt idx="265">
                  <c:v>187</c:v>
                </c:pt>
                <c:pt idx="266">
                  <c:v>217</c:v>
                </c:pt>
                <c:pt idx="267">
                  <c:v>295</c:v>
                </c:pt>
                <c:pt idx="268">
                  <c:v>641</c:v>
                </c:pt>
                <c:pt idx="269">
                  <c:v>345</c:v>
                </c:pt>
                <c:pt idx="270">
                  <c:v>478</c:v>
                </c:pt>
                <c:pt idx="271">
                  <c:v>84</c:v>
                </c:pt>
                <c:pt idx="272">
                  <c:v>377</c:v>
                </c:pt>
                <c:pt idx="273">
                  <c:v>473</c:v>
                </c:pt>
                <c:pt idx="274">
                  <c:v>105</c:v>
                </c:pt>
                <c:pt idx="275">
                  <c:v>567</c:v>
                </c:pt>
                <c:pt idx="276">
                  <c:v>437</c:v>
                </c:pt>
                <c:pt idx="277">
                  <c:v>203</c:v>
                </c:pt>
                <c:pt idx="278">
                  <c:v>67</c:v>
                </c:pt>
                <c:pt idx="279">
                  <c:v>110</c:v>
                </c:pt>
                <c:pt idx="280">
                  <c:v>100</c:v>
                </c:pt>
                <c:pt idx="281">
                  <c:v>643</c:v>
                </c:pt>
                <c:pt idx="282">
                  <c:v>542</c:v>
                </c:pt>
                <c:pt idx="283">
                  <c:v>302</c:v>
                </c:pt>
                <c:pt idx="284">
                  <c:v>59</c:v>
                </c:pt>
                <c:pt idx="285">
                  <c:v>330</c:v>
                </c:pt>
                <c:pt idx="286">
                  <c:v>614</c:v>
                </c:pt>
                <c:pt idx="287">
                  <c:v>388</c:v>
                </c:pt>
                <c:pt idx="288">
                  <c:v>160</c:v>
                </c:pt>
                <c:pt idx="289">
                  <c:v>453</c:v>
                </c:pt>
                <c:pt idx="290">
                  <c:v>644</c:v>
                </c:pt>
                <c:pt idx="291">
                  <c:v>16</c:v>
                </c:pt>
                <c:pt idx="292">
                  <c:v>602</c:v>
                </c:pt>
                <c:pt idx="293">
                  <c:v>12</c:v>
                </c:pt>
                <c:pt idx="294">
                  <c:v>604</c:v>
                </c:pt>
                <c:pt idx="295">
                  <c:v>347</c:v>
                </c:pt>
                <c:pt idx="296">
                  <c:v>117</c:v>
                </c:pt>
                <c:pt idx="297">
                  <c:v>532</c:v>
                </c:pt>
                <c:pt idx="298">
                  <c:v>481</c:v>
                </c:pt>
                <c:pt idx="299">
                  <c:v>116</c:v>
                </c:pt>
                <c:pt idx="300">
                  <c:v>379</c:v>
                </c:pt>
                <c:pt idx="301">
                  <c:v>522</c:v>
                </c:pt>
                <c:pt idx="302">
                  <c:v>301</c:v>
                </c:pt>
                <c:pt idx="303">
                  <c:v>451</c:v>
                </c:pt>
                <c:pt idx="304">
                  <c:v>576</c:v>
                </c:pt>
                <c:pt idx="305">
                  <c:v>113</c:v>
                </c:pt>
                <c:pt idx="306">
                  <c:v>314</c:v>
                </c:pt>
                <c:pt idx="307">
                  <c:v>264</c:v>
                </c:pt>
                <c:pt idx="308">
                  <c:v>152</c:v>
                </c:pt>
                <c:pt idx="309">
                  <c:v>592</c:v>
                </c:pt>
                <c:pt idx="310">
                  <c:v>609</c:v>
                </c:pt>
                <c:pt idx="311">
                  <c:v>449</c:v>
                </c:pt>
                <c:pt idx="312">
                  <c:v>72</c:v>
                </c:pt>
                <c:pt idx="313">
                  <c:v>488</c:v>
                </c:pt>
                <c:pt idx="314">
                  <c:v>180</c:v>
                </c:pt>
                <c:pt idx="315">
                  <c:v>321</c:v>
                </c:pt>
                <c:pt idx="316">
                  <c:v>194</c:v>
                </c:pt>
                <c:pt idx="317">
                  <c:v>456</c:v>
                </c:pt>
                <c:pt idx="318">
                  <c:v>99</c:v>
                </c:pt>
                <c:pt idx="319">
                  <c:v>487</c:v>
                </c:pt>
                <c:pt idx="320">
                  <c:v>562</c:v>
                </c:pt>
                <c:pt idx="321">
                  <c:v>137</c:v>
                </c:pt>
                <c:pt idx="322">
                  <c:v>228</c:v>
                </c:pt>
                <c:pt idx="323">
                  <c:v>243</c:v>
                </c:pt>
                <c:pt idx="324">
                  <c:v>340</c:v>
                </c:pt>
                <c:pt idx="325">
                  <c:v>198</c:v>
                </c:pt>
                <c:pt idx="326">
                  <c:v>579</c:v>
                </c:pt>
                <c:pt idx="327">
                  <c:v>225</c:v>
                </c:pt>
                <c:pt idx="328">
                  <c:v>206</c:v>
                </c:pt>
                <c:pt idx="329">
                  <c:v>34</c:v>
                </c:pt>
                <c:pt idx="330">
                  <c:v>565</c:v>
                </c:pt>
                <c:pt idx="331">
                  <c:v>123</c:v>
                </c:pt>
                <c:pt idx="332">
                  <c:v>268</c:v>
                </c:pt>
                <c:pt idx="333">
                  <c:v>259</c:v>
                </c:pt>
                <c:pt idx="334">
                  <c:v>363</c:v>
                </c:pt>
                <c:pt idx="335">
                  <c:v>486</c:v>
                </c:pt>
                <c:pt idx="336">
                  <c:v>317</c:v>
                </c:pt>
                <c:pt idx="337">
                  <c:v>518</c:v>
                </c:pt>
                <c:pt idx="338">
                  <c:v>498</c:v>
                </c:pt>
                <c:pt idx="339">
                  <c:v>221</c:v>
                </c:pt>
                <c:pt idx="340">
                  <c:v>234</c:v>
                </c:pt>
                <c:pt idx="341">
                  <c:v>631</c:v>
                </c:pt>
                <c:pt idx="342">
                  <c:v>537</c:v>
                </c:pt>
                <c:pt idx="343">
                  <c:v>549</c:v>
                </c:pt>
                <c:pt idx="344">
                  <c:v>443</c:v>
                </c:pt>
                <c:pt idx="345">
                  <c:v>471</c:v>
                </c:pt>
                <c:pt idx="346">
                  <c:v>61</c:v>
                </c:pt>
                <c:pt idx="347">
                  <c:v>615</c:v>
                </c:pt>
                <c:pt idx="348">
                  <c:v>11</c:v>
                </c:pt>
                <c:pt idx="349">
                  <c:v>207</c:v>
                </c:pt>
                <c:pt idx="350">
                  <c:v>442</c:v>
                </c:pt>
                <c:pt idx="351">
                  <c:v>525</c:v>
                </c:pt>
                <c:pt idx="352">
                  <c:v>646</c:v>
                </c:pt>
                <c:pt idx="353">
                  <c:v>640</c:v>
                </c:pt>
                <c:pt idx="354">
                  <c:v>557</c:v>
                </c:pt>
                <c:pt idx="355">
                  <c:v>459</c:v>
                </c:pt>
                <c:pt idx="356">
                  <c:v>420</c:v>
                </c:pt>
                <c:pt idx="357">
                  <c:v>173</c:v>
                </c:pt>
                <c:pt idx="358">
                  <c:v>448</c:v>
                </c:pt>
                <c:pt idx="359">
                  <c:v>114</c:v>
                </c:pt>
                <c:pt idx="360">
                  <c:v>167</c:v>
                </c:pt>
                <c:pt idx="361">
                  <c:v>352</c:v>
                </c:pt>
                <c:pt idx="362">
                  <c:v>148</c:v>
                </c:pt>
                <c:pt idx="363">
                  <c:v>13</c:v>
                </c:pt>
                <c:pt idx="364">
                  <c:v>597</c:v>
                </c:pt>
                <c:pt idx="365">
                  <c:v>441</c:v>
                </c:pt>
                <c:pt idx="366">
                  <c:v>37</c:v>
                </c:pt>
                <c:pt idx="367">
                  <c:v>365</c:v>
                </c:pt>
                <c:pt idx="368">
                  <c:v>358</c:v>
                </c:pt>
                <c:pt idx="369">
                  <c:v>484</c:v>
                </c:pt>
                <c:pt idx="370">
                  <c:v>367</c:v>
                </c:pt>
                <c:pt idx="371">
                  <c:v>127</c:v>
                </c:pt>
                <c:pt idx="372">
                  <c:v>368</c:v>
                </c:pt>
                <c:pt idx="373">
                  <c:v>387</c:v>
                </c:pt>
                <c:pt idx="374">
                  <c:v>629</c:v>
                </c:pt>
                <c:pt idx="375">
                  <c:v>645</c:v>
                </c:pt>
                <c:pt idx="376">
                  <c:v>33</c:v>
                </c:pt>
                <c:pt idx="377">
                  <c:v>554</c:v>
                </c:pt>
                <c:pt idx="378">
                  <c:v>430</c:v>
                </c:pt>
                <c:pt idx="379">
                  <c:v>332</c:v>
                </c:pt>
                <c:pt idx="380">
                  <c:v>435</c:v>
                </c:pt>
                <c:pt idx="381">
                  <c:v>605</c:v>
                </c:pt>
                <c:pt idx="382">
                  <c:v>47</c:v>
                </c:pt>
                <c:pt idx="383">
                  <c:v>303</c:v>
                </c:pt>
                <c:pt idx="384">
                  <c:v>496</c:v>
                </c:pt>
                <c:pt idx="385">
                  <c:v>383</c:v>
                </c:pt>
                <c:pt idx="386">
                  <c:v>381</c:v>
                </c:pt>
                <c:pt idx="387">
                  <c:v>351</c:v>
                </c:pt>
                <c:pt idx="388">
                  <c:v>165</c:v>
                </c:pt>
                <c:pt idx="389">
                  <c:v>272</c:v>
                </c:pt>
                <c:pt idx="390">
                  <c:v>445</c:v>
                </c:pt>
                <c:pt idx="391">
                  <c:v>338</c:v>
                </c:pt>
                <c:pt idx="392">
                  <c:v>140</c:v>
                </c:pt>
                <c:pt idx="393">
                  <c:v>623</c:v>
                </c:pt>
                <c:pt idx="394">
                  <c:v>269</c:v>
                </c:pt>
                <c:pt idx="395">
                  <c:v>546</c:v>
                </c:pt>
                <c:pt idx="396">
                  <c:v>318</c:v>
                </c:pt>
                <c:pt idx="397">
                  <c:v>397</c:v>
                </c:pt>
                <c:pt idx="398">
                  <c:v>241</c:v>
                </c:pt>
                <c:pt idx="399">
                  <c:v>636</c:v>
                </c:pt>
                <c:pt idx="400">
                  <c:v>156</c:v>
                </c:pt>
                <c:pt idx="401">
                  <c:v>327</c:v>
                </c:pt>
                <c:pt idx="402">
                  <c:v>39</c:v>
                </c:pt>
                <c:pt idx="403">
                  <c:v>485</c:v>
                </c:pt>
                <c:pt idx="404">
                  <c:v>134</c:v>
                </c:pt>
                <c:pt idx="405">
                  <c:v>82</c:v>
                </c:pt>
                <c:pt idx="406">
                  <c:v>57</c:v>
                </c:pt>
                <c:pt idx="407">
                  <c:v>283</c:v>
                </c:pt>
                <c:pt idx="408">
                  <c:v>308</c:v>
                </c:pt>
                <c:pt idx="409">
                  <c:v>495</c:v>
                </c:pt>
                <c:pt idx="410">
                  <c:v>547</c:v>
                </c:pt>
                <c:pt idx="411">
                  <c:v>447</c:v>
                </c:pt>
                <c:pt idx="412">
                  <c:v>413</c:v>
                </c:pt>
                <c:pt idx="413">
                  <c:v>168</c:v>
                </c:pt>
                <c:pt idx="414">
                  <c:v>339</c:v>
                </c:pt>
                <c:pt idx="415">
                  <c:v>450</c:v>
                </c:pt>
                <c:pt idx="416">
                  <c:v>242</c:v>
                </c:pt>
                <c:pt idx="417">
                  <c:v>531</c:v>
                </c:pt>
                <c:pt idx="418">
                  <c:v>494</c:v>
                </c:pt>
                <c:pt idx="419">
                  <c:v>131</c:v>
                </c:pt>
                <c:pt idx="420">
                  <c:v>360</c:v>
                </c:pt>
                <c:pt idx="421">
                  <c:v>212</c:v>
                </c:pt>
                <c:pt idx="422">
                  <c:v>222</c:v>
                </c:pt>
                <c:pt idx="423">
                  <c:v>466</c:v>
                </c:pt>
                <c:pt idx="424">
                  <c:v>560</c:v>
                </c:pt>
                <c:pt idx="425">
                  <c:v>618</c:v>
                </c:pt>
                <c:pt idx="426">
                  <c:v>364</c:v>
                </c:pt>
                <c:pt idx="427">
                  <c:v>540</c:v>
                </c:pt>
                <c:pt idx="428">
                  <c:v>382</c:v>
                </c:pt>
                <c:pt idx="429">
                  <c:v>514</c:v>
                </c:pt>
                <c:pt idx="430">
                  <c:v>31</c:v>
                </c:pt>
                <c:pt idx="431">
                  <c:v>371</c:v>
                </c:pt>
                <c:pt idx="432">
                  <c:v>278</c:v>
                </c:pt>
                <c:pt idx="433">
                  <c:v>311</c:v>
                </c:pt>
                <c:pt idx="434">
                  <c:v>517</c:v>
                </c:pt>
                <c:pt idx="435">
                  <c:v>429</c:v>
                </c:pt>
                <c:pt idx="436">
                  <c:v>276</c:v>
                </c:pt>
                <c:pt idx="437">
                  <c:v>291</c:v>
                </c:pt>
                <c:pt idx="438">
                  <c:v>233</c:v>
                </c:pt>
                <c:pt idx="439">
                  <c:v>585</c:v>
                </c:pt>
                <c:pt idx="440">
                  <c:v>414</c:v>
                </c:pt>
                <c:pt idx="441">
                  <c:v>49</c:v>
                </c:pt>
                <c:pt idx="442">
                  <c:v>18</c:v>
                </c:pt>
                <c:pt idx="443">
                  <c:v>357</c:v>
                </c:pt>
                <c:pt idx="444">
                  <c:v>325</c:v>
                </c:pt>
                <c:pt idx="445">
                  <c:v>270</c:v>
                </c:pt>
                <c:pt idx="446">
                  <c:v>552</c:v>
                </c:pt>
                <c:pt idx="447">
                  <c:v>223</c:v>
                </c:pt>
                <c:pt idx="448">
                  <c:v>40</c:v>
                </c:pt>
                <c:pt idx="449">
                  <c:v>337</c:v>
                </c:pt>
                <c:pt idx="450">
                  <c:v>446</c:v>
                </c:pt>
                <c:pt idx="451">
                  <c:v>8</c:v>
                </c:pt>
                <c:pt idx="452">
                  <c:v>350</c:v>
                </c:pt>
                <c:pt idx="453">
                  <c:v>455</c:v>
                </c:pt>
                <c:pt idx="454">
                  <c:v>479</c:v>
                </c:pt>
                <c:pt idx="455">
                  <c:v>428</c:v>
                </c:pt>
                <c:pt idx="456">
                  <c:v>464</c:v>
                </c:pt>
                <c:pt idx="457">
                  <c:v>391</c:v>
                </c:pt>
                <c:pt idx="458">
                  <c:v>14</c:v>
                </c:pt>
                <c:pt idx="459">
                  <c:v>600</c:v>
                </c:pt>
                <c:pt idx="460">
                  <c:v>52</c:v>
                </c:pt>
                <c:pt idx="461">
                  <c:v>559</c:v>
                </c:pt>
                <c:pt idx="462">
                  <c:v>607</c:v>
                </c:pt>
                <c:pt idx="463">
                  <c:v>424</c:v>
                </c:pt>
                <c:pt idx="464">
                  <c:v>625</c:v>
                </c:pt>
                <c:pt idx="465">
                  <c:v>38</c:v>
                </c:pt>
                <c:pt idx="466">
                  <c:v>310</c:v>
                </c:pt>
                <c:pt idx="467">
                  <c:v>335</c:v>
                </c:pt>
                <c:pt idx="468">
                  <c:v>313</c:v>
                </c:pt>
                <c:pt idx="469">
                  <c:v>78</c:v>
                </c:pt>
                <c:pt idx="470">
                  <c:v>151</c:v>
                </c:pt>
                <c:pt idx="471">
                  <c:v>461</c:v>
                </c:pt>
                <c:pt idx="472">
                  <c:v>255</c:v>
                </c:pt>
                <c:pt idx="473">
                  <c:v>411</c:v>
                </c:pt>
                <c:pt idx="474">
                  <c:v>202</c:v>
                </c:pt>
                <c:pt idx="475">
                  <c:v>571</c:v>
                </c:pt>
                <c:pt idx="476">
                  <c:v>386</c:v>
                </c:pt>
                <c:pt idx="477">
                  <c:v>353</c:v>
                </c:pt>
                <c:pt idx="478">
                  <c:v>650</c:v>
                </c:pt>
                <c:pt idx="479">
                  <c:v>144</c:v>
                </c:pt>
                <c:pt idx="480">
                  <c:v>267</c:v>
                </c:pt>
                <c:pt idx="481">
                  <c:v>480</c:v>
                </c:pt>
                <c:pt idx="482">
                  <c:v>141</c:v>
                </c:pt>
                <c:pt idx="483">
                  <c:v>616</c:v>
                </c:pt>
                <c:pt idx="484">
                  <c:v>432</c:v>
                </c:pt>
                <c:pt idx="485">
                  <c:v>370</c:v>
                </c:pt>
                <c:pt idx="486">
                  <c:v>305</c:v>
                </c:pt>
                <c:pt idx="487">
                  <c:v>133</c:v>
                </c:pt>
                <c:pt idx="488">
                  <c:v>253</c:v>
                </c:pt>
                <c:pt idx="489">
                  <c:v>81</c:v>
                </c:pt>
                <c:pt idx="490">
                  <c:v>586</c:v>
                </c:pt>
                <c:pt idx="491">
                  <c:v>213</c:v>
                </c:pt>
                <c:pt idx="492">
                  <c:v>323</c:v>
                </c:pt>
                <c:pt idx="493">
                  <c:v>328</c:v>
                </c:pt>
                <c:pt idx="494">
                  <c:v>107</c:v>
                </c:pt>
                <c:pt idx="495">
                  <c:v>294</c:v>
                </c:pt>
                <c:pt idx="496">
                  <c:v>83</c:v>
                </c:pt>
                <c:pt idx="497">
                  <c:v>132</c:v>
                </c:pt>
                <c:pt idx="498">
                  <c:v>490</c:v>
                </c:pt>
                <c:pt idx="499">
                  <c:v>324</c:v>
                </c:pt>
                <c:pt idx="500">
                  <c:v>509</c:v>
                </c:pt>
                <c:pt idx="501">
                  <c:v>70</c:v>
                </c:pt>
                <c:pt idx="502">
                  <c:v>10</c:v>
                </c:pt>
                <c:pt idx="503">
                  <c:v>548</c:v>
                </c:pt>
                <c:pt idx="504">
                  <c:v>306</c:v>
                </c:pt>
                <c:pt idx="505">
                  <c:v>119</c:v>
                </c:pt>
                <c:pt idx="506">
                  <c:v>43</c:v>
                </c:pt>
                <c:pt idx="507">
                  <c:v>464</c:v>
                </c:pt>
                <c:pt idx="508">
                  <c:v>391</c:v>
                </c:pt>
                <c:pt idx="509">
                  <c:v>14</c:v>
                </c:pt>
                <c:pt idx="510">
                  <c:v>600</c:v>
                </c:pt>
                <c:pt idx="511">
                  <c:v>52</c:v>
                </c:pt>
                <c:pt idx="512">
                  <c:v>559</c:v>
                </c:pt>
                <c:pt idx="513">
                  <c:v>607</c:v>
                </c:pt>
                <c:pt idx="514">
                  <c:v>424</c:v>
                </c:pt>
                <c:pt idx="515">
                  <c:v>625</c:v>
                </c:pt>
                <c:pt idx="516">
                  <c:v>38</c:v>
                </c:pt>
                <c:pt idx="517">
                  <c:v>310</c:v>
                </c:pt>
                <c:pt idx="518">
                  <c:v>335</c:v>
                </c:pt>
                <c:pt idx="519">
                  <c:v>313</c:v>
                </c:pt>
                <c:pt idx="520">
                  <c:v>78</c:v>
                </c:pt>
                <c:pt idx="521">
                  <c:v>151</c:v>
                </c:pt>
                <c:pt idx="522">
                  <c:v>461</c:v>
                </c:pt>
                <c:pt idx="523">
                  <c:v>523</c:v>
                </c:pt>
                <c:pt idx="524">
                  <c:v>789</c:v>
                </c:pt>
                <c:pt idx="525">
                  <c:v>654</c:v>
                </c:pt>
                <c:pt idx="526">
                  <c:v>125</c:v>
                </c:pt>
                <c:pt idx="527">
                  <c:v>658</c:v>
                </c:pt>
                <c:pt idx="528">
                  <c:v>399</c:v>
                </c:pt>
                <c:pt idx="529">
                  <c:v>539</c:v>
                </c:pt>
                <c:pt idx="530">
                  <c:v>534</c:v>
                </c:pt>
                <c:pt idx="531">
                  <c:v>230</c:v>
                </c:pt>
                <c:pt idx="532">
                  <c:v>438</c:v>
                </c:pt>
                <c:pt idx="533">
                  <c:v>74</c:v>
                </c:pt>
                <c:pt idx="534">
                  <c:v>197</c:v>
                </c:pt>
                <c:pt idx="535">
                  <c:v>628</c:v>
                </c:pt>
                <c:pt idx="536">
                  <c:v>108</c:v>
                </c:pt>
                <c:pt idx="537">
                  <c:v>334</c:v>
                </c:pt>
                <c:pt idx="538">
                  <c:v>195</c:v>
                </c:pt>
                <c:pt idx="539">
                  <c:v>184</c:v>
                </c:pt>
                <c:pt idx="540">
                  <c:v>427</c:v>
                </c:pt>
                <c:pt idx="541">
                  <c:v>19</c:v>
                </c:pt>
                <c:pt idx="542">
                  <c:v>299</c:v>
                </c:pt>
                <c:pt idx="543">
                  <c:v>627</c:v>
                </c:pt>
                <c:pt idx="544">
                  <c:v>620</c:v>
                </c:pt>
                <c:pt idx="545">
                  <c:v>106</c:v>
                </c:pt>
                <c:pt idx="546">
                  <c:v>280</c:v>
                </c:pt>
                <c:pt idx="547">
                  <c:v>457</c:v>
                </c:pt>
                <c:pt idx="548">
                  <c:v>15</c:v>
                </c:pt>
                <c:pt idx="549">
                  <c:v>208</c:v>
                </c:pt>
                <c:pt idx="550">
                  <c:v>136</c:v>
                </c:pt>
                <c:pt idx="551">
                  <c:v>65</c:v>
                </c:pt>
                <c:pt idx="552">
                  <c:v>25</c:v>
                </c:pt>
                <c:pt idx="553">
                  <c:v>22</c:v>
                </c:pt>
                <c:pt idx="554">
                  <c:v>27</c:v>
                </c:pt>
                <c:pt idx="555">
                  <c:v>30</c:v>
                </c:pt>
                <c:pt idx="556">
                  <c:v>273</c:v>
                </c:pt>
              </c:numCache>
            </c:numRef>
          </c:val>
        </c:ser>
        <c:ser>
          <c:idx val="1"/>
          <c:order val="1"/>
          <c:tx>
            <c:strRef>
              <c:f>Основная_таблица!$D$1</c:f>
              <c:strCache>
                <c:ptCount val="1"/>
                <c:pt idx="0">
                  <c:v>День нед.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Основная_таблица!$A$2:$B$750</c:f>
              <c:multiLvlStrCache>
                <c:ptCount val="557"/>
                <c:lvl>
                  <c:pt idx="0">
                    <c:v>PutIssue</c:v>
                  </c:pt>
                  <c:pt idx="1">
                    <c:v>MoveIssue</c:v>
                  </c:pt>
                  <c:pt idx="2">
                    <c:v>RenameIssue</c:v>
                  </c:pt>
                  <c:pt idx="3">
                    <c:v>CloseIssue</c:v>
                  </c:pt>
                  <c:pt idx="4">
                    <c:v>GetIssue</c:v>
                  </c:pt>
                  <c:pt idx="5">
                    <c:v>InspectIssue</c:v>
                  </c:pt>
                  <c:pt idx="6">
                    <c:v>UpdateIssue</c:v>
                  </c:pt>
                  <c:pt idx="7">
                    <c:v>DeleteIssue</c:v>
                  </c:pt>
                  <c:pt idx="8">
                    <c:v>CreateIssue</c:v>
                  </c:pt>
                  <c:pt idx="9">
                    <c:v>SaveIssue</c:v>
                  </c:pt>
                  <c:pt idx="10">
                    <c:v>PutIssue</c:v>
                  </c:pt>
                  <c:pt idx="11">
                    <c:v>MoveIssue</c:v>
                  </c:pt>
                  <c:pt idx="12">
                    <c:v>RenameIssue</c:v>
                  </c:pt>
                  <c:pt idx="13">
                    <c:v>CloseIssue</c:v>
                  </c:pt>
                  <c:pt idx="14">
                    <c:v>GetIssue</c:v>
                  </c:pt>
                  <c:pt idx="15">
                    <c:v>InspectIssue</c:v>
                  </c:pt>
                  <c:pt idx="16">
                    <c:v>UpdateIssue</c:v>
                  </c:pt>
                  <c:pt idx="17">
                    <c:v>DeleteIssue</c:v>
                  </c:pt>
                  <c:pt idx="18">
                    <c:v>CreateIssue</c:v>
                  </c:pt>
                  <c:pt idx="19">
                    <c:v>SaveIssue</c:v>
                  </c:pt>
                  <c:pt idx="20">
                    <c:v>PutIssue</c:v>
                  </c:pt>
                  <c:pt idx="21">
                    <c:v>MoveIssue</c:v>
                  </c:pt>
                  <c:pt idx="22">
                    <c:v>RenameIssue</c:v>
                  </c:pt>
                  <c:pt idx="23">
                    <c:v>CloseIssue</c:v>
                  </c:pt>
                  <c:pt idx="24">
                    <c:v>GetIssue</c:v>
                  </c:pt>
                  <c:pt idx="25">
                    <c:v>InspectIssue</c:v>
                  </c:pt>
                  <c:pt idx="26">
                    <c:v>UpdateIssue</c:v>
                  </c:pt>
                  <c:pt idx="27">
                    <c:v>DeleteIssue</c:v>
                  </c:pt>
                  <c:pt idx="28">
                    <c:v>CreateIssue</c:v>
                  </c:pt>
                  <c:pt idx="29">
                    <c:v>SaveIssue</c:v>
                  </c:pt>
                  <c:pt idx="30">
                    <c:v>PutIssue</c:v>
                  </c:pt>
                  <c:pt idx="31">
                    <c:v>MoveIssue</c:v>
                  </c:pt>
                  <c:pt idx="32">
                    <c:v>RenameIssue</c:v>
                  </c:pt>
                  <c:pt idx="33">
                    <c:v>CloseIssue</c:v>
                  </c:pt>
                  <c:pt idx="34">
                    <c:v>GetIssue</c:v>
                  </c:pt>
                  <c:pt idx="35">
                    <c:v>InspectIssue</c:v>
                  </c:pt>
                  <c:pt idx="36">
                    <c:v>UpdateIssue</c:v>
                  </c:pt>
                  <c:pt idx="37">
                    <c:v>DeleteIssue</c:v>
                  </c:pt>
                  <c:pt idx="38">
                    <c:v>CreateIssue</c:v>
                  </c:pt>
                  <c:pt idx="39">
                    <c:v>SaveIssue</c:v>
                  </c:pt>
                  <c:pt idx="40">
                    <c:v>PutIssue</c:v>
                  </c:pt>
                  <c:pt idx="41">
                    <c:v>MoveIssue</c:v>
                  </c:pt>
                  <c:pt idx="42">
                    <c:v>RenameIssue</c:v>
                  </c:pt>
                  <c:pt idx="43">
                    <c:v>CloseIssue</c:v>
                  </c:pt>
                  <c:pt idx="44">
                    <c:v>GetIssue</c:v>
                  </c:pt>
                  <c:pt idx="45">
                    <c:v>InspectIssue</c:v>
                  </c:pt>
                  <c:pt idx="46">
                    <c:v>UpdateIssue</c:v>
                  </c:pt>
                  <c:pt idx="47">
                    <c:v>DeleteIssue</c:v>
                  </c:pt>
                  <c:pt idx="48">
                    <c:v>CreateIssue</c:v>
                  </c:pt>
                  <c:pt idx="49">
                    <c:v>PutIssue</c:v>
                  </c:pt>
                  <c:pt idx="50">
                    <c:v>MoveIssue</c:v>
                  </c:pt>
                  <c:pt idx="51">
                    <c:v>RenameIssue</c:v>
                  </c:pt>
                  <c:pt idx="52">
                    <c:v>CloseIssue</c:v>
                  </c:pt>
                  <c:pt idx="53">
                    <c:v>GetIssue</c:v>
                  </c:pt>
                  <c:pt idx="54">
                    <c:v>InspectIssue</c:v>
                  </c:pt>
                  <c:pt idx="55">
                    <c:v>UpdateIssue</c:v>
                  </c:pt>
                  <c:pt idx="56">
                    <c:v>DeleteIssue</c:v>
                  </c:pt>
                  <c:pt idx="57">
                    <c:v>CreateIssue</c:v>
                  </c:pt>
                  <c:pt idx="58">
                    <c:v>SaveIssue</c:v>
                  </c:pt>
                  <c:pt idx="59">
                    <c:v>PutIssue</c:v>
                  </c:pt>
                  <c:pt idx="60">
                    <c:v>MoveIssue</c:v>
                  </c:pt>
                  <c:pt idx="61">
                    <c:v>RenameIssue</c:v>
                  </c:pt>
                  <c:pt idx="62">
                    <c:v>CloseIssue</c:v>
                  </c:pt>
                  <c:pt idx="63">
                    <c:v>GetIssue</c:v>
                  </c:pt>
                  <c:pt idx="64">
                    <c:v>InspectIssue</c:v>
                  </c:pt>
                  <c:pt idx="65">
                    <c:v>UpdateIssue</c:v>
                  </c:pt>
                  <c:pt idx="66">
                    <c:v>DeleteIssue</c:v>
                  </c:pt>
                  <c:pt idx="67">
                    <c:v>CreateIssue</c:v>
                  </c:pt>
                  <c:pt idx="68">
                    <c:v>SaveIssue</c:v>
                  </c:pt>
                  <c:pt idx="69">
                    <c:v>PutIssue</c:v>
                  </c:pt>
                  <c:pt idx="70">
                    <c:v>MoveIssue</c:v>
                  </c:pt>
                  <c:pt idx="71">
                    <c:v>RenameIssue</c:v>
                  </c:pt>
                  <c:pt idx="72">
                    <c:v>SaveIssue</c:v>
                  </c:pt>
                  <c:pt idx="73">
                    <c:v>PutIssue</c:v>
                  </c:pt>
                  <c:pt idx="74">
                    <c:v>MoveIssue</c:v>
                  </c:pt>
                  <c:pt idx="75">
                    <c:v>RenameIssue</c:v>
                  </c:pt>
                  <c:pt idx="76">
                    <c:v>CloseIssue</c:v>
                  </c:pt>
                  <c:pt idx="77">
                    <c:v>GetIssue</c:v>
                  </c:pt>
                  <c:pt idx="78">
                    <c:v>InspectIssue</c:v>
                  </c:pt>
                  <c:pt idx="79">
                    <c:v>UpdateIssue</c:v>
                  </c:pt>
                  <c:pt idx="80">
                    <c:v>DeleteIssue</c:v>
                  </c:pt>
                  <c:pt idx="81">
                    <c:v>CreateIssue</c:v>
                  </c:pt>
                  <c:pt idx="82">
                    <c:v>SaveIssue</c:v>
                  </c:pt>
                  <c:pt idx="83">
                    <c:v>PutIssue</c:v>
                  </c:pt>
                  <c:pt idx="84">
                    <c:v>MoveIssue</c:v>
                  </c:pt>
                  <c:pt idx="85">
                    <c:v>RenameIssue</c:v>
                  </c:pt>
                  <c:pt idx="86">
                    <c:v>CloseIssue</c:v>
                  </c:pt>
                  <c:pt idx="87">
                    <c:v>GetIssue</c:v>
                  </c:pt>
                  <c:pt idx="88">
                    <c:v>InspectIssue</c:v>
                  </c:pt>
                  <c:pt idx="89">
                    <c:v>UpdateIssue</c:v>
                  </c:pt>
                  <c:pt idx="90">
                    <c:v>DeleteIssue</c:v>
                  </c:pt>
                  <c:pt idx="91">
                    <c:v>CreateIssue</c:v>
                  </c:pt>
                  <c:pt idx="92">
                    <c:v>SaveIssue</c:v>
                  </c:pt>
                  <c:pt idx="93">
                    <c:v>PutIssue</c:v>
                  </c:pt>
                  <c:pt idx="94">
                    <c:v>MoveIssue</c:v>
                  </c:pt>
                  <c:pt idx="95">
                    <c:v>RenameIssue</c:v>
                  </c:pt>
                  <c:pt idx="96">
                    <c:v>MoveIssue</c:v>
                  </c:pt>
                  <c:pt idx="97">
                    <c:v>RenameIssue</c:v>
                  </c:pt>
                  <c:pt idx="98">
                    <c:v>CloseIssue</c:v>
                  </c:pt>
                  <c:pt idx="99">
                    <c:v>GetIssue</c:v>
                  </c:pt>
                  <c:pt idx="100">
                    <c:v>InspectIssue</c:v>
                  </c:pt>
                  <c:pt idx="101">
                    <c:v>UpdateIssue</c:v>
                  </c:pt>
                  <c:pt idx="102">
                    <c:v>DeleteIssue</c:v>
                  </c:pt>
                  <c:pt idx="103">
                    <c:v>CreateIssue</c:v>
                  </c:pt>
                  <c:pt idx="104">
                    <c:v>SaveIssue</c:v>
                  </c:pt>
                  <c:pt idx="105">
                    <c:v>PutIssue</c:v>
                  </c:pt>
                  <c:pt idx="106">
                    <c:v>MoveIssue</c:v>
                  </c:pt>
                  <c:pt idx="107">
                    <c:v>RenameIssue</c:v>
                  </c:pt>
                  <c:pt idx="108">
                    <c:v>CloseIssue</c:v>
                  </c:pt>
                  <c:pt idx="109">
                    <c:v>GetIssue</c:v>
                  </c:pt>
                  <c:pt idx="110">
                    <c:v>InspectIssue</c:v>
                  </c:pt>
                  <c:pt idx="111">
                    <c:v>UpdateIssue</c:v>
                  </c:pt>
                  <c:pt idx="112">
                    <c:v>DeleteIssue</c:v>
                  </c:pt>
                  <c:pt idx="113">
                    <c:v>CreateIssue</c:v>
                  </c:pt>
                  <c:pt idx="114">
                    <c:v>SaveIssue</c:v>
                  </c:pt>
                  <c:pt idx="115">
                    <c:v>PutIssue</c:v>
                  </c:pt>
                  <c:pt idx="116">
                    <c:v>MoveIssue</c:v>
                  </c:pt>
                  <c:pt idx="117">
                    <c:v>RenameIssue</c:v>
                  </c:pt>
                  <c:pt idx="118">
                    <c:v>CloseIssue</c:v>
                  </c:pt>
                  <c:pt idx="119">
                    <c:v>GetIssue</c:v>
                  </c:pt>
                  <c:pt idx="120">
                    <c:v>InspectIssue</c:v>
                  </c:pt>
                  <c:pt idx="121">
                    <c:v>UpdateIssue</c:v>
                  </c:pt>
                  <c:pt idx="122">
                    <c:v>DeleteIssue</c:v>
                  </c:pt>
                  <c:pt idx="123">
                    <c:v>CreateIssue</c:v>
                  </c:pt>
                  <c:pt idx="124">
                    <c:v>SaveIssue</c:v>
                  </c:pt>
                  <c:pt idx="125">
                    <c:v>PutIssue</c:v>
                  </c:pt>
                  <c:pt idx="126">
                    <c:v>MoveIssue</c:v>
                  </c:pt>
                  <c:pt idx="127">
                    <c:v>RenameIssue</c:v>
                  </c:pt>
                  <c:pt idx="128">
                    <c:v>CloseIssue</c:v>
                  </c:pt>
                  <c:pt idx="129">
                    <c:v>GetIssue</c:v>
                  </c:pt>
                  <c:pt idx="130">
                    <c:v>InspectIssue</c:v>
                  </c:pt>
                  <c:pt idx="131">
                    <c:v>UpdateIssue</c:v>
                  </c:pt>
                  <c:pt idx="132">
                    <c:v>DeleteIssue</c:v>
                  </c:pt>
                  <c:pt idx="133">
                    <c:v>CreateIssue</c:v>
                  </c:pt>
                  <c:pt idx="134">
                    <c:v>SaveIssue</c:v>
                  </c:pt>
                  <c:pt idx="135">
                    <c:v>PutIssue</c:v>
                  </c:pt>
                  <c:pt idx="136">
                    <c:v>MoveIssue</c:v>
                  </c:pt>
                  <c:pt idx="137">
                    <c:v>RenameIssue</c:v>
                  </c:pt>
                  <c:pt idx="138">
                    <c:v>CloseIssue</c:v>
                  </c:pt>
                  <c:pt idx="139">
                    <c:v>GetIssue</c:v>
                  </c:pt>
                  <c:pt idx="140">
                    <c:v>InspectIssue</c:v>
                  </c:pt>
                  <c:pt idx="141">
                    <c:v>UpdateIssue</c:v>
                  </c:pt>
                  <c:pt idx="142">
                    <c:v>DeleteIssue</c:v>
                  </c:pt>
                  <c:pt idx="143">
                    <c:v>CreateIssue</c:v>
                  </c:pt>
                  <c:pt idx="144">
                    <c:v>SaveIssue</c:v>
                  </c:pt>
                  <c:pt idx="145">
                    <c:v>PutIssue</c:v>
                  </c:pt>
                  <c:pt idx="146">
                    <c:v>MoveIssue</c:v>
                  </c:pt>
                  <c:pt idx="147">
                    <c:v>RenameIssue</c:v>
                  </c:pt>
                  <c:pt idx="148">
                    <c:v>CloseIssue</c:v>
                  </c:pt>
                  <c:pt idx="149">
                    <c:v>GetIssue</c:v>
                  </c:pt>
                  <c:pt idx="150">
                    <c:v>InspectIssue</c:v>
                  </c:pt>
                  <c:pt idx="151">
                    <c:v>UpdateIssue</c:v>
                  </c:pt>
                  <c:pt idx="152">
                    <c:v>DeleteIssue</c:v>
                  </c:pt>
                  <c:pt idx="153">
                    <c:v>CreateIssue</c:v>
                  </c:pt>
                  <c:pt idx="154">
                    <c:v>SaveIssue</c:v>
                  </c:pt>
                  <c:pt idx="155">
                    <c:v>PutIssue</c:v>
                  </c:pt>
                  <c:pt idx="156">
                    <c:v>MoveIssue</c:v>
                  </c:pt>
                  <c:pt idx="157">
                    <c:v>RenameIssue</c:v>
                  </c:pt>
                  <c:pt idx="158">
                    <c:v>CloseIssue</c:v>
                  </c:pt>
                  <c:pt idx="159">
                    <c:v>GetIssue</c:v>
                  </c:pt>
                  <c:pt idx="160">
                    <c:v>InspectIssue</c:v>
                  </c:pt>
                  <c:pt idx="161">
                    <c:v>UpdateIssue</c:v>
                  </c:pt>
                  <c:pt idx="162">
                    <c:v>DeleteIssue</c:v>
                  </c:pt>
                  <c:pt idx="163">
                    <c:v>CreateIssue</c:v>
                  </c:pt>
                  <c:pt idx="164">
                    <c:v>SaveIssue</c:v>
                  </c:pt>
                  <c:pt idx="165">
                    <c:v>PutIssue</c:v>
                  </c:pt>
                  <c:pt idx="166">
                    <c:v>MoveIssue</c:v>
                  </c:pt>
                  <c:pt idx="167">
                    <c:v>RenameIssue</c:v>
                  </c:pt>
                  <c:pt idx="168">
                    <c:v>CloseIssue</c:v>
                  </c:pt>
                  <c:pt idx="169">
                    <c:v>GetIssue</c:v>
                  </c:pt>
                  <c:pt idx="170">
                    <c:v>InspectIssue</c:v>
                  </c:pt>
                  <c:pt idx="171">
                    <c:v>UpdateIssue</c:v>
                  </c:pt>
                  <c:pt idx="172">
                    <c:v>DeleteIssue</c:v>
                  </c:pt>
                  <c:pt idx="173">
                    <c:v>CreateIssue</c:v>
                  </c:pt>
                  <c:pt idx="174">
                    <c:v>SaveIssue</c:v>
                  </c:pt>
                  <c:pt idx="175">
                    <c:v>PutIssue</c:v>
                  </c:pt>
                  <c:pt idx="176">
                    <c:v>MoveIssue</c:v>
                  </c:pt>
                  <c:pt idx="177">
                    <c:v>RenameIssue</c:v>
                  </c:pt>
                  <c:pt idx="178">
                    <c:v>CloseIssue</c:v>
                  </c:pt>
                  <c:pt idx="179">
                    <c:v>GetIssue</c:v>
                  </c:pt>
                  <c:pt idx="180">
                    <c:v>InspectIssue</c:v>
                  </c:pt>
                  <c:pt idx="181">
                    <c:v>UpdateIssue</c:v>
                  </c:pt>
                  <c:pt idx="182">
                    <c:v>DeleteIssue</c:v>
                  </c:pt>
                  <c:pt idx="183">
                    <c:v>CreateIssue</c:v>
                  </c:pt>
                  <c:pt idx="184">
                    <c:v>SaveIssue</c:v>
                  </c:pt>
                  <c:pt idx="185">
                    <c:v>PutIssue</c:v>
                  </c:pt>
                  <c:pt idx="186">
                    <c:v>MoveIssue</c:v>
                  </c:pt>
                  <c:pt idx="187">
                    <c:v>RenameIssue</c:v>
                  </c:pt>
                  <c:pt idx="188">
                    <c:v>CloseIssue</c:v>
                  </c:pt>
                  <c:pt idx="189">
                    <c:v>GetIssue</c:v>
                  </c:pt>
                  <c:pt idx="190">
                    <c:v>InspectIssue</c:v>
                  </c:pt>
                  <c:pt idx="191">
                    <c:v>UpdateIssue</c:v>
                  </c:pt>
                  <c:pt idx="192">
                    <c:v>DeleteIssue</c:v>
                  </c:pt>
                  <c:pt idx="193">
                    <c:v>CreateIssue</c:v>
                  </c:pt>
                  <c:pt idx="194">
                    <c:v>SaveIssue</c:v>
                  </c:pt>
                  <c:pt idx="195">
                    <c:v>PutIssue</c:v>
                  </c:pt>
                  <c:pt idx="196">
                    <c:v>MoveIssue</c:v>
                  </c:pt>
                  <c:pt idx="197">
                    <c:v>RenameIssue</c:v>
                  </c:pt>
                  <c:pt idx="198">
                    <c:v>CloseIssue</c:v>
                  </c:pt>
                  <c:pt idx="199">
                    <c:v>GetIssue</c:v>
                  </c:pt>
                  <c:pt idx="200">
                    <c:v>InspectIssue</c:v>
                  </c:pt>
                  <c:pt idx="201">
                    <c:v>UpdateIssue</c:v>
                  </c:pt>
                  <c:pt idx="202">
                    <c:v>DeleteIssue</c:v>
                  </c:pt>
                  <c:pt idx="203">
                    <c:v>CreateIssue</c:v>
                  </c:pt>
                  <c:pt idx="204">
                    <c:v>SaveIssue</c:v>
                  </c:pt>
                  <c:pt idx="205">
                    <c:v>PutIssue</c:v>
                  </c:pt>
                  <c:pt idx="206">
                    <c:v>MoveIssue</c:v>
                  </c:pt>
                  <c:pt idx="207">
                    <c:v>RenameIssue</c:v>
                  </c:pt>
                  <c:pt idx="208">
                    <c:v>CloseIssue</c:v>
                  </c:pt>
                  <c:pt idx="209">
                    <c:v>GetIssue</c:v>
                  </c:pt>
                  <c:pt idx="210">
                    <c:v>InspectIssue</c:v>
                  </c:pt>
                  <c:pt idx="211">
                    <c:v>UpdateIssue</c:v>
                  </c:pt>
                  <c:pt idx="212">
                    <c:v>DeleteIssue</c:v>
                  </c:pt>
                  <c:pt idx="213">
                    <c:v>CreateIssue</c:v>
                  </c:pt>
                  <c:pt idx="214">
                    <c:v>SaveIssue</c:v>
                  </c:pt>
                  <c:pt idx="215">
                    <c:v>PutIssue</c:v>
                  </c:pt>
                  <c:pt idx="216">
                    <c:v>SaveIssue</c:v>
                  </c:pt>
                  <c:pt idx="217">
                    <c:v>PutIssue</c:v>
                  </c:pt>
                  <c:pt idx="218">
                    <c:v>MoveIssue</c:v>
                  </c:pt>
                  <c:pt idx="219">
                    <c:v>RenameIssue</c:v>
                  </c:pt>
                  <c:pt idx="220">
                    <c:v>CloseIssue</c:v>
                  </c:pt>
                  <c:pt idx="221">
                    <c:v>GetIssue</c:v>
                  </c:pt>
                  <c:pt idx="222">
                    <c:v>InspectIssue</c:v>
                  </c:pt>
                  <c:pt idx="223">
                    <c:v>UpdateIssue</c:v>
                  </c:pt>
                  <c:pt idx="224">
                    <c:v>DeleteIssue</c:v>
                  </c:pt>
                  <c:pt idx="225">
                    <c:v>CreateIssue</c:v>
                  </c:pt>
                  <c:pt idx="226">
                    <c:v>SaveIssue</c:v>
                  </c:pt>
                  <c:pt idx="227">
                    <c:v>PutIssue</c:v>
                  </c:pt>
                  <c:pt idx="228">
                    <c:v>MoveIssue</c:v>
                  </c:pt>
                  <c:pt idx="229">
                    <c:v>RenameIssue</c:v>
                  </c:pt>
                  <c:pt idx="230">
                    <c:v>CloseIssue</c:v>
                  </c:pt>
                  <c:pt idx="231">
                    <c:v>GetIssue</c:v>
                  </c:pt>
                  <c:pt idx="232">
                    <c:v>InspectIssue</c:v>
                  </c:pt>
                  <c:pt idx="233">
                    <c:v>UpdateIssue</c:v>
                  </c:pt>
                  <c:pt idx="234">
                    <c:v>DeleteIssue</c:v>
                  </c:pt>
                  <c:pt idx="235">
                    <c:v>CreateIssue</c:v>
                  </c:pt>
                  <c:pt idx="236">
                    <c:v>SaveIssue</c:v>
                  </c:pt>
                  <c:pt idx="237">
                    <c:v>PutIssue</c:v>
                  </c:pt>
                  <c:pt idx="238">
                    <c:v>MoveIssue</c:v>
                  </c:pt>
                  <c:pt idx="239">
                    <c:v>RenameIssue</c:v>
                  </c:pt>
                  <c:pt idx="240">
                    <c:v>CloseIssue</c:v>
                  </c:pt>
                  <c:pt idx="241">
                    <c:v>GetIssue</c:v>
                  </c:pt>
                  <c:pt idx="242">
                    <c:v>InspectIssue</c:v>
                  </c:pt>
                  <c:pt idx="243">
                    <c:v>UpdateIssue</c:v>
                  </c:pt>
                  <c:pt idx="244">
                    <c:v>DeleteIssue</c:v>
                  </c:pt>
                  <c:pt idx="245">
                    <c:v>CreateIssue</c:v>
                  </c:pt>
                  <c:pt idx="246">
                    <c:v>SaveIssue</c:v>
                  </c:pt>
                  <c:pt idx="247">
                    <c:v>PutIssue</c:v>
                  </c:pt>
                  <c:pt idx="248">
                    <c:v>MoveIssue</c:v>
                  </c:pt>
                  <c:pt idx="249">
                    <c:v>RenameIssue</c:v>
                  </c:pt>
                  <c:pt idx="250">
                    <c:v>CloseIssue</c:v>
                  </c:pt>
                  <c:pt idx="251">
                    <c:v>GetIssue</c:v>
                  </c:pt>
                  <c:pt idx="252">
                    <c:v>InspectIssue</c:v>
                  </c:pt>
                  <c:pt idx="253">
                    <c:v>UpdateIssue</c:v>
                  </c:pt>
                  <c:pt idx="254">
                    <c:v>DeleteIssue</c:v>
                  </c:pt>
                  <c:pt idx="255">
                    <c:v>CreateIssue</c:v>
                  </c:pt>
                  <c:pt idx="256">
                    <c:v>SaveIssue</c:v>
                  </c:pt>
                  <c:pt idx="257">
                    <c:v>PutIssue</c:v>
                  </c:pt>
                  <c:pt idx="258">
                    <c:v>MoveIssue</c:v>
                  </c:pt>
                  <c:pt idx="259">
                    <c:v>RenameIssue</c:v>
                  </c:pt>
                  <c:pt idx="260">
                    <c:v>CloseIssue</c:v>
                  </c:pt>
                  <c:pt idx="261">
                    <c:v>GetIssue</c:v>
                  </c:pt>
                  <c:pt idx="262">
                    <c:v>InspectIssue</c:v>
                  </c:pt>
                  <c:pt idx="263">
                    <c:v>UpdateIssue</c:v>
                  </c:pt>
                  <c:pt idx="264">
                    <c:v>DeleteIssue</c:v>
                  </c:pt>
                  <c:pt idx="265">
                    <c:v>CreateIssue</c:v>
                  </c:pt>
                  <c:pt idx="266">
                    <c:v>SaveIssue</c:v>
                  </c:pt>
                  <c:pt idx="267">
                    <c:v>PutIssue</c:v>
                  </c:pt>
                  <c:pt idx="268">
                    <c:v>MoveIssue</c:v>
                  </c:pt>
                  <c:pt idx="269">
                    <c:v>RenameIssue</c:v>
                  </c:pt>
                  <c:pt idx="270">
                    <c:v>CloseIssue</c:v>
                  </c:pt>
                  <c:pt idx="271">
                    <c:v>GetIssue</c:v>
                  </c:pt>
                  <c:pt idx="272">
                    <c:v>InspectIssue</c:v>
                  </c:pt>
                  <c:pt idx="273">
                    <c:v>UpdateIssue</c:v>
                  </c:pt>
                  <c:pt idx="274">
                    <c:v>DeleteIssue</c:v>
                  </c:pt>
                  <c:pt idx="275">
                    <c:v>CreateIssue</c:v>
                  </c:pt>
                  <c:pt idx="276">
                    <c:v>SaveIssue</c:v>
                  </c:pt>
                  <c:pt idx="277">
                    <c:v>PutIssue</c:v>
                  </c:pt>
                  <c:pt idx="278">
                    <c:v>MoveIssue</c:v>
                  </c:pt>
                  <c:pt idx="279">
                    <c:v>RenameIssue</c:v>
                  </c:pt>
                  <c:pt idx="280">
                    <c:v>CloseIssue</c:v>
                  </c:pt>
                  <c:pt idx="281">
                    <c:v>GetIssue</c:v>
                  </c:pt>
                  <c:pt idx="282">
                    <c:v>InspectIssue</c:v>
                  </c:pt>
                  <c:pt idx="283">
                    <c:v>UpdateIssue</c:v>
                  </c:pt>
                  <c:pt idx="284">
                    <c:v>DeleteIssue</c:v>
                  </c:pt>
                  <c:pt idx="285">
                    <c:v>CreateIssue</c:v>
                  </c:pt>
                  <c:pt idx="286">
                    <c:v>SaveIssue</c:v>
                  </c:pt>
                  <c:pt idx="287">
                    <c:v>PutIssue</c:v>
                  </c:pt>
                  <c:pt idx="288">
                    <c:v>MoveIssue</c:v>
                  </c:pt>
                  <c:pt idx="289">
                    <c:v>RenameIssue</c:v>
                  </c:pt>
                  <c:pt idx="290">
                    <c:v>CloseIssue</c:v>
                  </c:pt>
                  <c:pt idx="291">
                    <c:v>GetIssue</c:v>
                  </c:pt>
                  <c:pt idx="292">
                    <c:v>InspectIssue</c:v>
                  </c:pt>
                  <c:pt idx="293">
                    <c:v>UpdateIssue</c:v>
                  </c:pt>
                  <c:pt idx="294">
                    <c:v>DeleteIssue</c:v>
                  </c:pt>
                  <c:pt idx="295">
                    <c:v>CreateIssue</c:v>
                  </c:pt>
                  <c:pt idx="296">
                    <c:v>SaveIssue</c:v>
                  </c:pt>
                  <c:pt idx="297">
                    <c:v>PutIssue</c:v>
                  </c:pt>
                  <c:pt idx="298">
                    <c:v>MoveIssue</c:v>
                  </c:pt>
                  <c:pt idx="299">
                    <c:v>RenameIssue</c:v>
                  </c:pt>
                  <c:pt idx="300">
                    <c:v>CloseIssue</c:v>
                  </c:pt>
                  <c:pt idx="301">
                    <c:v>GetIssue</c:v>
                  </c:pt>
                  <c:pt idx="302">
                    <c:v>InspectIssue</c:v>
                  </c:pt>
                  <c:pt idx="303">
                    <c:v>UpdateIssue</c:v>
                  </c:pt>
                  <c:pt idx="304">
                    <c:v>DeleteIssue</c:v>
                  </c:pt>
                  <c:pt idx="305">
                    <c:v>CreateIssue</c:v>
                  </c:pt>
                  <c:pt idx="306">
                    <c:v>SaveIssue</c:v>
                  </c:pt>
                  <c:pt idx="307">
                    <c:v>PutIssue</c:v>
                  </c:pt>
                  <c:pt idx="308">
                    <c:v>MoveIssue</c:v>
                  </c:pt>
                  <c:pt idx="309">
                    <c:v>RenameIssue</c:v>
                  </c:pt>
                  <c:pt idx="310">
                    <c:v>CloseIssue</c:v>
                  </c:pt>
                  <c:pt idx="311">
                    <c:v>GetIssue</c:v>
                  </c:pt>
                  <c:pt idx="312">
                    <c:v>InspectIssue</c:v>
                  </c:pt>
                  <c:pt idx="313">
                    <c:v>UpdateIssue</c:v>
                  </c:pt>
                  <c:pt idx="314">
                    <c:v>DeleteIssue</c:v>
                  </c:pt>
                  <c:pt idx="315">
                    <c:v>CreateIssue</c:v>
                  </c:pt>
                  <c:pt idx="316">
                    <c:v>SaveIssue</c:v>
                  </c:pt>
                  <c:pt idx="317">
                    <c:v>PutIssue</c:v>
                  </c:pt>
                  <c:pt idx="318">
                    <c:v>MoveIssue</c:v>
                  </c:pt>
                  <c:pt idx="319">
                    <c:v>RenameIssue</c:v>
                  </c:pt>
                  <c:pt idx="320">
                    <c:v>CloseIssue</c:v>
                  </c:pt>
                  <c:pt idx="321">
                    <c:v>GetIssue</c:v>
                  </c:pt>
                  <c:pt idx="322">
                    <c:v>InspectIssue</c:v>
                  </c:pt>
                  <c:pt idx="323">
                    <c:v>UpdateIssue</c:v>
                  </c:pt>
                  <c:pt idx="324">
                    <c:v>DeleteIssue</c:v>
                  </c:pt>
                  <c:pt idx="325">
                    <c:v>CreateIssue</c:v>
                  </c:pt>
                  <c:pt idx="326">
                    <c:v>SaveIssue</c:v>
                  </c:pt>
                  <c:pt idx="327">
                    <c:v>PutIssue</c:v>
                  </c:pt>
                  <c:pt idx="328">
                    <c:v>MoveIssue</c:v>
                  </c:pt>
                  <c:pt idx="329">
                    <c:v>RenameIssue</c:v>
                  </c:pt>
                  <c:pt idx="330">
                    <c:v>CloseIssue</c:v>
                  </c:pt>
                  <c:pt idx="331">
                    <c:v>GetIssue</c:v>
                  </c:pt>
                  <c:pt idx="332">
                    <c:v>InspectIssue</c:v>
                  </c:pt>
                  <c:pt idx="333">
                    <c:v>UpdateIssue</c:v>
                  </c:pt>
                  <c:pt idx="334">
                    <c:v>DeleteIssue</c:v>
                  </c:pt>
                  <c:pt idx="335">
                    <c:v>CreateIssue</c:v>
                  </c:pt>
                  <c:pt idx="336">
                    <c:v>DeleteIssue</c:v>
                  </c:pt>
                  <c:pt idx="337">
                    <c:v>CreateIssue</c:v>
                  </c:pt>
                  <c:pt idx="338">
                    <c:v>SaveIssue</c:v>
                  </c:pt>
                  <c:pt idx="339">
                    <c:v>PutIssue</c:v>
                  </c:pt>
                  <c:pt idx="340">
                    <c:v>MoveIssue</c:v>
                  </c:pt>
                  <c:pt idx="341">
                    <c:v>RenameIssue</c:v>
                  </c:pt>
                  <c:pt idx="342">
                    <c:v>CloseIssue</c:v>
                  </c:pt>
                  <c:pt idx="343">
                    <c:v>GetIssue</c:v>
                  </c:pt>
                  <c:pt idx="344">
                    <c:v>InspectIssue</c:v>
                  </c:pt>
                  <c:pt idx="345">
                    <c:v>UpdateIssue</c:v>
                  </c:pt>
                  <c:pt idx="346">
                    <c:v>DeleteIssue</c:v>
                  </c:pt>
                  <c:pt idx="347">
                    <c:v>CreateIssue</c:v>
                  </c:pt>
                  <c:pt idx="348">
                    <c:v>SaveIssue</c:v>
                  </c:pt>
                  <c:pt idx="349">
                    <c:v>PutIssue</c:v>
                  </c:pt>
                  <c:pt idx="350">
                    <c:v>MoveIssue</c:v>
                  </c:pt>
                  <c:pt idx="351">
                    <c:v>RenameIssue</c:v>
                  </c:pt>
                  <c:pt idx="352">
                    <c:v>CloseIssue</c:v>
                  </c:pt>
                  <c:pt idx="353">
                    <c:v>GetIssue</c:v>
                  </c:pt>
                  <c:pt idx="354">
                    <c:v>InspectIssue</c:v>
                  </c:pt>
                  <c:pt idx="355">
                    <c:v>UpdateIssue</c:v>
                  </c:pt>
                  <c:pt idx="356">
                    <c:v>DeleteIssue</c:v>
                  </c:pt>
                  <c:pt idx="357">
                    <c:v>CreateIssue</c:v>
                  </c:pt>
                  <c:pt idx="358">
                    <c:v>SaveIssue</c:v>
                  </c:pt>
                  <c:pt idx="359">
                    <c:v>PutIssue</c:v>
                  </c:pt>
                  <c:pt idx="360">
                    <c:v>MoveIssue</c:v>
                  </c:pt>
                  <c:pt idx="361">
                    <c:v>RenameIssue</c:v>
                  </c:pt>
                  <c:pt idx="362">
                    <c:v>CloseIssue</c:v>
                  </c:pt>
                  <c:pt idx="363">
                    <c:v>GetIssue</c:v>
                  </c:pt>
                  <c:pt idx="364">
                    <c:v>InspectIssue</c:v>
                  </c:pt>
                  <c:pt idx="365">
                    <c:v>UpdateIssue</c:v>
                  </c:pt>
                  <c:pt idx="366">
                    <c:v>DeleteIssue</c:v>
                  </c:pt>
                  <c:pt idx="367">
                    <c:v>CreateIssue</c:v>
                  </c:pt>
                  <c:pt idx="368">
                    <c:v>SaveIssue</c:v>
                  </c:pt>
                  <c:pt idx="369">
                    <c:v>PutIssue</c:v>
                  </c:pt>
                  <c:pt idx="370">
                    <c:v>MoveIssue</c:v>
                  </c:pt>
                  <c:pt idx="371">
                    <c:v>RenameIssue</c:v>
                  </c:pt>
                  <c:pt idx="372">
                    <c:v>CloseIssue</c:v>
                  </c:pt>
                  <c:pt idx="373">
                    <c:v>GetIssue</c:v>
                  </c:pt>
                  <c:pt idx="374">
                    <c:v>InspectIssue</c:v>
                  </c:pt>
                  <c:pt idx="375">
                    <c:v>UpdateIssue</c:v>
                  </c:pt>
                  <c:pt idx="376">
                    <c:v>DeleteIssue</c:v>
                  </c:pt>
                  <c:pt idx="377">
                    <c:v>CreateIssue</c:v>
                  </c:pt>
                  <c:pt idx="378">
                    <c:v>SaveIssue</c:v>
                  </c:pt>
                  <c:pt idx="379">
                    <c:v>PutIssue</c:v>
                  </c:pt>
                  <c:pt idx="380">
                    <c:v>MoveIssue</c:v>
                  </c:pt>
                  <c:pt idx="381">
                    <c:v>RenameIssue</c:v>
                  </c:pt>
                  <c:pt idx="382">
                    <c:v>CloseIssue</c:v>
                  </c:pt>
                  <c:pt idx="383">
                    <c:v>GetIssue</c:v>
                  </c:pt>
                  <c:pt idx="384">
                    <c:v>InspectIssue</c:v>
                  </c:pt>
                  <c:pt idx="385">
                    <c:v>UpdateIssue</c:v>
                  </c:pt>
                  <c:pt idx="386">
                    <c:v>DeleteIssue</c:v>
                  </c:pt>
                  <c:pt idx="387">
                    <c:v>CreateIssue</c:v>
                  </c:pt>
                  <c:pt idx="388">
                    <c:v>SaveIssue</c:v>
                  </c:pt>
                  <c:pt idx="389">
                    <c:v>PutIssue</c:v>
                  </c:pt>
                  <c:pt idx="390">
                    <c:v>MoveIssue</c:v>
                  </c:pt>
                  <c:pt idx="391">
                    <c:v>RenameIssue</c:v>
                  </c:pt>
                  <c:pt idx="392">
                    <c:v>CloseIssue</c:v>
                  </c:pt>
                  <c:pt idx="393">
                    <c:v>GetIssue</c:v>
                  </c:pt>
                  <c:pt idx="394">
                    <c:v>InspectIssue</c:v>
                  </c:pt>
                  <c:pt idx="395">
                    <c:v>UpdateIssue</c:v>
                  </c:pt>
                  <c:pt idx="396">
                    <c:v>DeleteIssue</c:v>
                  </c:pt>
                  <c:pt idx="397">
                    <c:v>CreateIssue</c:v>
                  </c:pt>
                  <c:pt idx="398">
                    <c:v>SaveIssue</c:v>
                  </c:pt>
                  <c:pt idx="399">
                    <c:v>PutIssue</c:v>
                  </c:pt>
                  <c:pt idx="400">
                    <c:v>MoveIssue</c:v>
                  </c:pt>
                  <c:pt idx="401">
                    <c:v>RenameIssue</c:v>
                  </c:pt>
                  <c:pt idx="402">
                    <c:v>CloseIssue</c:v>
                  </c:pt>
                  <c:pt idx="403">
                    <c:v>GetIssue</c:v>
                  </c:pt>
                  <c:pt idx="404">
                    <c:v>InspectIssue</c:v>
                  </c:pt>
                  <c:pt idx="405">
                    <c:v>UpdateIssue</c:v>
                  </c:pt>
                  <c:pt idx="406">
                    <c:v>PutIssue</c:v>
                  </c:pt>
                  <c:pt idx="407">
                    <c:v>MoveIssue</c:v>
                  </c:pt>
                  <c:pt idx="408">
                    <c:v>UpdateIssue</c:v>
                  </c:pt>
                  <c:pt idx="409">
                    <c:v>DeleteIssue</c:v>
                  </c:pt>
                  <c:pt idx="410">
                    <c:v>CreateIssue</c:v>
                  </c:pt>
                  <c:pt idx="411">
                    <c:v>SaveIssue</c:v>
                  </c:pt>
                  <c:pt idx="412">
                    <c:v>PutIssue</c:v>
                  </c:pt>
                  <c:pt idx="413">
                    <c:v>MoveIssue</c:v>
                  </c:pt>
                  <c:pt idx="414">
                    <c:v>RenameIssue</c:v>
                  </c:pt>
                  <c:pt idx="415">
                    <c:v>CloseIssue</c:v>
                  </c:pt>
                  <c:pt idx="416">
                    <c:v>GetIssue</c:v>
                  </c:pt>
                  <c:pt idx="417">
                    <c:v>InspectIssue</c:v>
                  </c:pt>
                  <c:pt idx="418">
                    <c:v>UpdateIssue</c:v>
                  </c:pt>
                  <c:pt idx="419">
                    <c:v>DeleteIssue</c:v>
                  </c:pt>
                  <c:pt idx="420">
                    <c:v>CreateIssue</c:v>
                  </c:pt>
                  <c:pt idx="421">
                    <c:v>SaveIssue</c:v>
                  </c:pt>
                  <c:pt idx="422">
                    <c:v>PutIssue</c:v>
                  </c:pt>
                  <c:pt idx="423">
                    <c:v>MoveIssue</c:v>
                  </c:pt>
                  <c:pt idx="424">
                    <c:v>RenameIssue</c:v>
                  </c:pt>
                  <c:pt idx="425">
                    <c:v>CloseIssue</c:v>
                  </c:pt>
                  <c:pt idx="426">
                    <c:v>GetIssue</c:v>
                  </c:pt>
                  <c:pt idx="427">
                    <c:v>InspectIssue</c:v>
                  </c:pt>
                  <c:pt idx="428">
                    <c:v>UpdateIssue</c:v>
                  </c:pt>
                  <c:pt idx="429">
                    <c:v>DeleteIssue</c:v>
                  </c:pt>
                  <c:pt idx="430">
                    <c:v>CreateIssue</c:v>
                  </c:pt>
                  <c:pt idx="431">
                    <c:v>SaveIssue</c:v>
                  </c:pt>
                  <c:pt idx="432">
                    <c:v>PutIssue</c:v>
                  </c:pt>
                  <c:pt idx="433">
                    <c:v>MoveIssue</c:v>
                  </c:pt>
                  <c:pt idx="434">
                    <c:v>RenameIssue</c:v>
                  </c:pt>
                  <c:pt idx="435">
                    <c:v>CloseIssue</c:v>
                  </c:pt>
                  <c:pt idx="436">
                    <c:v>GetIssue</c:v>
                  </c:pt>
                  <c:pt idx="437">
                    <c:v>InspectIssue</c:v>
                  </c:pt>
                  <c:pt idx="438">
                    <c:v>UpdateIssue</c:v>
                  </c:pt>
                  <c:pt idx="439">
                    <c:v>DeleteIssue</c:v>
                  </c:pt>
                  <c:pt idx="440">
                    <c:v>CreateIssue</c:v>
                  </c:pt>
                  <c:pt idx="441">
                    <c:v>SaveIssue</c:v>
                  </c:pt>
                  <c:pt idx="442">
                    <c:v>PutIssue</c:v>
                  </c:pt>
                  <c:pt idx="443">
                    <c:v>MoveIssue</c:v>
                  </c:pt>
                  <c:pt idx="444">
                    <c:v>RenameIssue</c:v>
                  </c:pt>
                  <c:pt idx="445">
                    <c:v>CloseIssue</c:v>
                  </c:pt>
                  <c:pt idx="446">
                    <c:v>GetIssue</c:v>
                  </c:pt>
                  <c:pt idx="447">
                    <c:v>InspectIssue</c:v>
                  </c:pt>
                  <c:pt idx="448">
                    <c:v>UpdateIssue</c:v>
                  </c:pt>
                  <c:pt idx="449">
                    <c:v>DeleteIssue</c:v>
                  </c:pt>
                  <c:pt idx="450">
                    <c:v>CreateIssue</c:v>
                  </c:pt>
                  <c:pt idx="451">
                    <c:v>SaveIssue</c:v>
                  </c:pt>
                  <c:pt idx="452">
                    <c:v>PutIssue</c:v>
                  </c:pt>
                  <c:pt idx="453">
                    <c:v>MoveIssue</c:v>
                  </c:pt>
                  <c:pt idx="454">
                    <c:v>RenameIssue</c:v>
                  </c:pt>
                  <c:pt idx="455">
                    <c:v>CloseIssue</c:v>
                  </c:pt>
                  <c:pt idx="456">
                    <c:v>RenameIssue</c:v>
                  </c:pt>
                  <c:pt idx="457">
                    <c:v>CloseIssue</c:v>
                  </c:pt>
                  <c:pt idx="458">
                    <c:v>GetIssue</c:v>
                  </c:pt>
                  <c:pt idx="459">
                    <c:v>InspectIssue</c:v>
                  </c:pt>
                  <c:pt idx="460">
                    <c:v>UpdateIssue</c:v>
                  </c:pt>
                  <c:pt idx="461">
                    <c:v>DeleteIssue</c:v>
                  </c:pt>
                  <c:pt idx="462">
                    <c:v>CreateIssue</c:v>
                  </c:pt>
                  <c:pt idx="463">
                    <c:v>SaveIssue</c:v>
                  </c:pt>
                  <c:pt idx="464">
                    <c:v>PutIssue</c:v>
                  </c:pt>
                  <c:pt idx="465">
                    <c:v>MoveIssue</c:v>
                  </c:pt>
                  <c:pt idx="466">
                    <c:v>RenameIssue</c:v>
                  </c:pt>
                  <c:pt idx="467">
                    <c:v>CloseIssue</c:v>
                  </c:pt>
                  <c:pt idx="468">
                    <c:v>GetIssue</c:v>
                  </c:pt>
                  <c:pt idx="469">
                    <c:v>InspectIssue</c:v>
                  </c:pt>
                  <c:pt idx="470">
                    <c:v>UpdateIssue</c:v>
                  </c:pt>
                  <c:pt idx="471">
                    <c:v>DeleteIssue</c:v>
                  </c:pt>
                  <c:pt idx="472">
                    <c:v>CreateIssue</c:v>
                  </c:pt>
                  <c:pt idx="473">
                    <c:v>SaveIssue</c:v>
                  </c:pt>
                  <c:pt idx="474">
                    <c:v>PutIssue</c:v>
                  </c:pt>
                  <c:pt idx="475">
                    <c:v>MoveIssue</c:v>
                  </c:pt>
                  <c:pt idx="476">
                    <c:v>RenameIssue</c:v>
                  </c:pt>
                  <c:pt idx="477">
                    <c:v>CloseIssue</c:v>
                  </c:pt>
                  <c:pt idx="478">
                    <c:v>GetIssue</c:v>
                  </c:pt>
                  <c:pt idx="479">
                    <c:v>InspectIssue</c:v>
                  </c:pt>
                  <c:pt idx="480">
                    <c:v>UpdateIssue</c:v>
                  </c:pt>
                  <c:pt idx="481">
                    <c:v>DeleteIssue</c:v>
                  </c:pt>
                  <c:pt idx="482">
                    <c:v>CreateIssue</c:v>
                  </c:pt>
                  <c:pt idx="483">
                    <c:v>SaveIssue</c:v>
                  </c:pt>
                  <c:pt idx="484">
                    <c:v>PutIssue</c:v>
                  </c:pt>
                  <c:pt idx="485">
                    <c:v>MoveIssue</c:v>
                  </c:pt>
                  <c:pt idx="486">
                    <c:v>RenameIssue</c:v>
                  </c:pt>
                  <c:pt idx="487">
                    <c:v>CloseIssue</c:v>
                  </c:pt>
                  <c:pt idx="488">
                    <c:v>GetIssue</c:v>
                  </c:pt>
                  <c:pt idx="489">
                    <c:v>InspectIssue</c:v>
                  </c:pt>
                  <c:pt idx="490">
                    <c:v>UpdateIssue</c:v>
                  </c:pt>
                  <c:pt idx="491">
                    <c:v>DeleteIssue</c:v>
                  </c:pt>
                  <c:pt idx="492">
                    <c:v>CreateIssue</c:v>
                  </c:pt>
                  <c:pt idx="493">
                    <c:v>SaveIssue</c:v>
                  </c:pt>
                  <c:pt idx="494">
                    <c:v>PutIssue</c:v>
                  </c:pt>
                  <c:pt idx="495">
                    <c:v>MoveIssue</c:v>
                  </c:pt>
                  <c:pt idx="496">
                    <c:v>RenameIssue</c:v>
                  </c:pt>
                  <c:pt idx="497">
                    <c:v>CloseIssue</c:v>
                  </c:pt>
                  <c:pt idx="498">
                    <c:v>GetIssue</c:v>
                  </c:pt>
                  <c:pt idx="499">
                    <c:v>InspectIssue</c:v>
                  </c:pt>
                  <c:pt idx="500">
                    <c:v>UpdateIssue</c:v>
                  </c:pt>
                  <c:pt idx="501">
                    <c:v>DeleteIssue</c:v>
                  </c:pt>
                  <c:pt idx="502">
                    <c:v>CreateIssue</c:v>
                  </c:pt>
                  <c:pt idx="503">
                    <c:v>SaveIssue</c:v>
                  </c:pt>
                  <c:pt idx="504">
                    <c:v>PutIssue</c:v>
                  </c:pt>
                  <c:pt idx="505">
                    <c:v>MoveIssue</c:v>
                  </c:pt>
                  <c:pt idx="506">
                    <c:v>RenameIssue</c:v>
                  </c:pt>
                  <c:pt idx="507">
                    <c:v>CloseIssue</c:v>
                  </c:pt>
                  <c:pt idx="508">
                    <c:v>GetIssue</c:v>
                  </c:pt>
                  <c:pt idx="509">
                    <c:v>InspectIssue</c:v>
                  </c:pt>
                  <c:pt idx="510">
                    <c:v>UpdateIssue</c:v>
                  </c:pt>
                  <c:pt idx="511">
                    <c:v>DeleteIssue</c:v>
                  </c:pt>
                  <c:pt idx="512">
                    <c:v>CreateIssue</c:v>
                  </c:pt>
                  <c:pt idx="513">
                    <c:v>SaveIssue</c:v>
                  </c:pt>
                  <c:pt idx="514">
                    <c:v>PutIssue</c:v>
                  </c:pt>
                  <c:pt idx="515">
                    <c:v>MoveIssue</c:v>
                  </c:pt>
                  <c:pt idx="516">
                    <c:v>RenameIssue</c:v>
                  </c:pt>
                  <c:pt idx="517">
                    <c:v>CloseIssue</c:v>
                  </c:pt>
                  <c:pt idx="518">
                    <c:v>GetIssue</c:v>
                  </c:pt>
                  <c:pt idx="519">
                    <c:v>InspectIssue</c:v>
                  </c:pt>
                  <c:pt idx="520">
                    <c:v>UpdateIssue</c:v>
                  </c:pt>
                  <c:pt idx="521">
                    <c:v>DeleteIssue</c:v>
                  </c:pt>
                  <c:pt idx="522">
                    <c:v>CreateIssue</c:v>
                  </c:pt>
                  <c:pt idx="523">
                    <c:v>SaveIssue</c:v>
                  </c:pt>
                  <c:pt idx="524">
                    <c:v>PutIssue</c:v>
                  </c:pt>
                  <c:pt idx="525">
                    <c:v>MoveIssue</c:v>
                  </c:pt>
                  <c:pt idx="526">
                    <c:v>RenameIssue</c:v>
                  </c:pt>
                  <c:pt idx="527">
                    <c:v>CloseIssue</c:v>
                  </c:pt>
                  <c:pt idx="528">
                    <c:v>InspectIssue</c:v>
                  </c:pt>
                  <c:pt idx="529">
                    <c:v>UpdateIssue</c:v>
                  </c:pt>
                  <c:pt idx="530">
                    <c:v>DeleteIssue</c:v>
                  </c:pt>
                  <c:pt idx="531">
                    <c:v>CreateIssue</c:v>
                  </c:pt>
                  <c:pt idx="532">
                    <c:v>SaveIssue</c:v>
                  </c:pt>
                  <c:pt idx="533">
                    <c:v>MoveIssue</c:v>
                  </c:pt>
                  <c:pt idx="534">
                    <c:v>RenameIssue</c:v>
                  </c:pt>
                  <c:pt idx="535">
                    <c:v>CloseIssue</c:v>
                  </c:pt>
                  <c:pt idx="536">
                    <c:v>GetIssue</c:v>
                  </c:pt>
                  <c:pt idx="537">
                    <c:v>InspectIssue</c:v>
                  </c:pt>
                  <c:pt idx="538">
                    <c:v>UpdateIssue</c:v>
                  </c:pt>
                  <c:pt idx="539">
                    <c:v>DeleteIssue</c:v>
                  </c:pt>
                  <c:pt idx="540">
                    <c:v>CreateIssue</c:v>
                  </c:pt>
                  <c:pt idx="541">
                    <c:v>SaveIssue</c:v>
                  </c:pt>
                  <c:pt idx="542">
                    <c:v>PutIssue</c:v>
                  </c:pt>
                  <c:pt idx="543">
                    <c:v>MoveIssue</c:v>
                  </c:pt>
                  <c:pt idx="544">
                    <c:v>RenameIssue</c:v>
                  </c:pt>
                  <c:pt idx="545">
                    <c:v>CloseIssue</c:v>
                  </c:pt>
                  <c:pt idx="546">
                    <c:v>GetIssue</c:v>
                  </c:pt>
                  <c:pt idx="547">
                    <c:v>InspectIssue</c:v>
                  </c:pt>
                  <c:pt idx="548">
                    <c:v>UpdateIssue</c:v>
                  </c:pt>
                  <c:pt idx="549">
                    <c:v>DeleteIssue</c:v>
                  </c:pt>
                  <c:pt idx="550">
                    <c:v>CreateIssue</c:v>
                  </c:pt>
                  <c:pt idx="551">
                    <c:v>SaveIssue</c:v>
                  </c:pt>
                  <c:pt idx="552">
                    <c:v>PutIssue</c:v>
                  </c:pt>
                  <c:pt idx="553">
                    <c:v>MoveIssue</c:v>
                  </c:pt>
                  <c:pt idx="554">
                    <c:v>RenameIssue</c:v>
                  </c:pt>
                  <c:pt idx="555">
                    <c:v>CloseIssue</c:v>
                  </c:pt>
                  <c:pt idx="556">
                    <c:v>GetIssue</c:v>
                  </c:pt>
                </c:lvl>
                <c:lvl>
                  <c:pt idx="0">
                    <c:v>2024-10-01 00</c:v>
                  </c:pt>
                  <c:pt idx="1">
                    <c:v>2024-10-01 01</c:v>
                  </c:pt>
                  <c:pt idx="2">
                    <c:v>2024-10-01 02</c:v>
                  </c:pt>
                  <c:pt idx="3">
                    <c:v>2024-10-01 03</c:v>
                  </c:pt>
                  <c:pt idx="4">
                    <c:v>2024-10-01 04</c:v>
                  </c:pt>
                  <c:pt idx="5">
                    <c:v>2024-10-01 05</c:v>
                  </c:pt>
                  <c:pt idx="6">
                    <c:v>2024-10-01 06</c:v>
                  </c:pt>
                  <c:pt idx="7">
                    <c:v>2024-10-01 07</c:v>
                  </c:pt>
                  <c:pt idx="8">
                    <c:v>2024-10-01 08</c:v>
                  </c:pt>
                  <c:pt idx="9">
                    <c:v>2024-10-01 09</c:v>
                  </c:pt>
                  <c:pt idx="10">
                    <c:v>2024-10-01 10</c:v>
                  </c:pt>
                  <c:pt idx="11">
                    <c:v>2024-10-01 11</c:v>
                  </c:pt>
                  <c:pt idx="12">
                    <c:v>2024-10-01 12</c:v>
                  </c:pt>
                  <c:pt idx="13">
                    <c:v>2024-10-01 13</c:v>
                  </c:pt>
                  <c:pt idx="14">
                    <c:v>2024-10-01 14</c:v>
                  </c:pt>
                  <c:pt idx="15">
                    <c:v>2024-10-01 15</c:v>
                  </c:pt>
                  <c:pt idx="16">
                    <c:v>2024-10-01 16</c:v>
                  </c:pt>
                  <c:pt idx="17">
                    <c:v>2024-10-01 17</c:v>
                  </c:pt>
                  <c:pt idx="18">
                    <c:v>2024-10-01 18</c:v>
                  </c:pt>
                  <c:pt idx="19">
                    <c:v>2024-10-01 19</c:v>
                  </c:pt>
                  <c:pt idx="20">
                    <c:v>2024-10-01 20</c:v>
                  </c:pt>
                  <c:pt idx="21">
                    <c:v>2024-10-01 21</c:v>
                  </c:pt>
                  <c:pt idx="22">
                    <c:v>2024-10-01 22</c:v>
                  </c:pt>
                  <c:pt idx="23">
                    <c:v>2024-10-01 23</c:v>
                  </c:pt>
                  <c:pt idx="24">
                    <c:v>2024-10-02 00</c:v>
                  </c:pt>
                  <c:pt idx="25">
                    <c:v>2024-10-02 01</c:v>
                  </c:pt>
                  <c:pt idx="26">
                    <c:v>2024-10-02 02</c:v>
                  </c:pt>
                  <c:pt idx="27">
                    <c:v>2024-10-02 03</c:v>
                  </c:pt>
                  <c:pt idx="28">
                    <c:v>2024-10-02 04</c:v>
                  </c:pt>
                  <c:pt idx="29">
                    <c:v>2024-10-02 05</c:v>
                  </c:pt>
                  <c:pt idx="30">
                    <c:v>2024-10-02 06</c:v>
                  </c:pt>
                  <c:pt idx="31">
                    <c:v>2024-10-02 07</c:v>
                  </c:pt>
                  <c:pt idx="32">
                    <c:v>2024-10-02 08</c:v>
                  </c:pt>
                  <c:pt idx="33">
                    <c:v>2024-10-02 09</c:v>
                  </c:pt>
                  <c:pt idx="34">
                    <c:v>2024-10-02 10</c:v>
                  </c:pt>
                  <c:pt idx="35">
                    <c:v>2024-10-02 11</c:v>
                  </c:pt>
                  <c:pt idx="36">
                    <c:v>2024-10-02 12</c:v>
                  </c:pt>
                  <c:pt idx="37">
                    <c:v>2024-10-02 13</c:v>
                  </c:pt>
                  <c:pt idx="38">
                    <c:v>2024-10-02 14</c:v>
                  </c:pt>
                  <c:pt idx="39">
                    <c:v>2024-10-02 15</c:v>
                  </c:pt>
                  <c:pt idx="40">
                    <c:v>2024-10-02 16</c:v>
                  </c:pt>
                  <c:pt idx="41">
                    <c:v>2024-10-02 17</c:v>
                  </c:pt>
                  <c:pt idx="42">
                    <c:v>2024-10-02 18</c:v>
                  </c:pt>
                  <c:pt idx="43">
                    <c:v>2024-10-02 19</c:v>
                  </c:pt>
                  <c:pt idx="44">
                    <c:v>2024-10-02 20</c:v>
                  </c:pt>
                  <c:pt idx="45">
                    <c:v>2024-10-02 21</c:v>
                  </c:pt>
                  <c:pt idx="46">
                    <c:v>2024-10-02 22</c:v>
                  </c:pt>
                  <c:pt idx="47">
                    <c:v>2024-10-02 23</c:v>
                  </c:pt>
                  <c:pt idx="48">
                    <c:v>2024-10-03 00</c:v>
                  </c:pt>
                  <c:pt idx="49">
                    <c:v>2024-10-03 01</c:v>
                  </c:pt>
                  <c:pt idx="50">
                    <c:v>2024-10-03 02</c:v>
                  </c:pt>
                  <c:pt idx="51">
                    <c:v>2024-10-03 03</c:v>
                  </c:pt>
                  <c:pt idx="52">
                    <c:v>2024-10-03 04</c:v>
                  </c:pt>
                  <c:pt idx="53">
                    <c:v>2024-10-03 05</c:v>
                  </c:pt>
                  <c:pt idx="54">
                    <c:v>2024-10-03 06</c:v>
                  </c:pt>
                  <c:pt idx="55">
                    <c:v>2024-10-03 07</c:v>
                  </c:pt>
                  <c:pt idx="56">
                    <c:v>2024-10-03 08</c:v>
                  </c:pt>
                  <c:pt idx="57">
                    <c:v>2024-10-03 09</c:v>
                  </c:pt>
                  <c:pt idx="58">
                    <c:v>2024-10-03 10</c:v>
                  </c:pt>
                  <c:pt idx="59">
                    <c:v>2024-10-03 11</c:v>
                  </c:pt>
                  <c:pt idx="60">
                    <c:v>2024-10-03 12</c:v>
                  </c:pt>
                  <c:pt idx="61">
                    <c:v>2024-10-03 13</c:v>
                  </c:pt>
                  <c:pt idx="62">
                    <c:v>2024-10-03 14</c:v>
                  </c:pt>
                  <c:pt idx="63">
                    <c:v>2024-10-03 15</c:v>
                  </c:pt>
                  <c:pt idx="64">
                    <c:v>2024-10-03 16</c:v>
                  </c:pt>
                  <c:pt idx="65">
                    <c:v>2024-10-03 17</c:v>
                  </c:pt>
                  <c:pt idx="66">
                    <c:v>2024-10-03 18</c:v>
                  </c:pt>
                  <c:pt idx="67">
                    <c:v>2024-10-03 19</c:v>
                  </c:pt>
                  <c:pt idx="68">
                    <c:v>2024-10-03 20</c:v>
                  </c:pt>
                  <c:pt idx="69">
                    <c:v>2024-10-03 21</c:v>
                  </c:pt>
                  <c:pt idx="70">
                    <c:v>2024-10-03 22</c:v>
                  </c:pt>
                  <c:pt idx="71">
                    <c:v>2024-10-03 23</c:v>
                  </c:pt>
                  <c:pt idx="72">
                    <c:v>2024-10-04 00</c:v>
                  </c:pt>
                  <c:pt idx="73">
                    <c:v>2024-10-04 01</c:v>
                  </c:pt>
                  <c:pt idx="74">
                    <c:v>2024-10-04 02</c:v>
                  </c:pt>
                  <c:pt idx="75">
                    <c:v>2024-10-04 03</c:v>
                  </c:pt>
                  <c:pt idx="76">
                    <c:v>2024-10-04 04</c:v>
                  </c:pt>
                  <c:pt idx="77">
                    <c:v>2024-10-04 05</c:v>
                  </c:pt>
                  <c:pt idx="78">
                    <c:v>2024-10-04 06</c:v>
                  </c:pt>
                  <c:pt idx="79">
                    <c:v>2024-10-04 07</c:v>
                  </c:pt>
                  <c:pt idx="80">
                    <c:v>2024-10-04 08</c:v>
                  </c:pt>
                  <c:pt idx="81">
                    <c:v>2024-10-04 09</c:v>
                  </c:pt>
                  <c:pt idx="82">
                    <c:v>2024-10-04 10</c:v>
                  </c:pt>
                  <c:pt idx="83">
                    <c:v>2024-10-04 11</c:v>
                  </c:pt>
                  <c:pt idx="84">
                    <c:v>2024-10-04 12</c:v>
                  </c:pt>
                  <c:pt idx="85">
                    <c:v>2024-10-04 13</c:v>
                  </c:pt>
                  <c:pt idx="86">
                    <c:v>2024-10-04 14</c:v>
                  </c:pt>
                  <c:pt idx="87">
                    <c:v>2024-10-04 15</c:v>
                  </c:pt>
                  <c:pt idx="88">
                    <c:v>2024-10-04 16</c:v>
                  </c:pt>
                  <c:pt idx="89">
                    <c:v>2024-10-04 17</c:v>
                  </c:pt>
                  <c:pt idx="90">
                    <c:v>2024-10-04 18</c:v>
                  </c:pt>
                  <c:pt idx="91">
                    <c:v>2024-10-04 19</c:v>
                  </c:pt>
                  <c:pt idx="92">
                    <c:v>2024-10-04 20</c:v>
                  </c:pt>
                  <c:pt idx="93">
                    <c:v>2024-10-04 21</c:v>
                  </c:pt>
                  <c:pt idx="94">
                    <c:v>2024-10-04 22</c:v>
                  </c:pt>
                  <c:pt idx="95">
                    <c:v>2024-10-04 23</c:v>
                  </c:pt>
                  <c:pt idx="96">
                    <c:v>2024-10-07 00</c:v>
                  </c:pt>
                  <c:pt idx="97">
                    <c:v>2024-10-07 01</c:v>
                  </c:pt>
                  <c:pt idx="98">
                    <c:v>2024-10-07 02</c:v>
                  </c:pt>
                  <c:pt idx="99">
                    <c:v>2024-10-07 03</c:v>
                  </c:pt>
                  <c:pt idx="100">
                    <c:v>2024-10-07 04</c:v>
                  </c:pt>
                  <c:pt idx="101">
                    <c:v>2024-10-07 05</c:v>
                  </c:pt>
                  <c:pt idx="102">
                    <c:v>2024-10-07 06</c:v>
                  </c:pt>
                  <c:pt idx="103">
                    <c:v>2024-10-07 07</c:v>
                  </c:pt>
                  <c:pt idx="104">
                    <c:v>2024-10-07 08</c:v>
                  </c:pt>
                  <c:pt idx="105">
                    <c:v>2024-10-07 09</c:v>
                  </c:pt>
                  <c:pt idx="106">
                    <c:v>2024-10-07 10</c:v>
                  </c:pt>
                  <c:pt idx="107">
                    <c:v>2024-10-07 11</c:v>
                  </c:pt>
                  <c:pt idx="108">
                    <c:v>2024-10-07 12</c:v>
                  </c:pt>
                  <c:pt idx="109">
                    <c:v>2024-10-07 13</c:v>
                  </c:pt>
                  <c:pt idx="110">
                    <c:v>2024-10-07 14</c:v>
                  </c:pt>
                  <c:pt idx="111">
                    <c:v>2024-10-07 15</c:v>
                  </c:pt>
                  <c:pt idx="112">
                    <c:v>2024-10-07 16</c:v>
                  </c:pt>
                  <c:pt idx="113">
                    <c:v>2024-10-07 17</c:v>
                  </c:pt>
                  <c:pt idx="114">
                    <c:v>2024-10-07 18</c:v>
                  </c:pt>
                  <c:pt idx="115">
                    <c:v>2024-10-07 19</c:v>
                  </c:pt>
                  <c:pt idx="116">
                    <c:v>2024-10-07 20</c:v>
                  </c:pt>
                  <c:pt idx="117">
                    <c:v>2024-10-07 21</c:v>
                  </c:pt>
                  <c:pt idx="118">
                    <c:v>2024-10-07 22</c:v>
                  </c:pt>
                  <c:pt idx="119">
                    <c:v>2024-10-07 23</c:v>
                  </c:pt>
                  <c:pt idx="120">
                    <c:v>2024-10-08 00</c:v>
                  </c:pt>
                  <c:pt idx="121">
                    <c:v>2024-10-08 01</c:v>
                  </c:pt>
                  <c:pt idx="122">
                    <c:v>2024-10-08 02</c:v>
                  </c:pt>
                  <c:pt idx="123">
                    <c:v>2024-10-08 03</c:v>
                  </c:pt>
                  <c:pt idx="124">
                    <c:v>2024-10-08 04</c:v>
                  </c:pt>
                  <c:pt idx="125">
                    <c:v>2024-10-08 05</c:v>
                  </c:pt>
                  <c:pt idx="126">
                    <c:v>2024-10-08 06</c:v>
                  </c:pt>
                  <c:pt idx="127">
                    <c:v>2024-10-08 07</c:v>
                  </c:pt>
                  <c:pt idx="128">
                    <c:v>2024-10-08 08</c:v>
                  </c:pt>
                  <c:pt idx="129">
                    <c:v>2024-10-08 09</c:v>
                  </c:pt>
                  <c:pt idx="130">
                    <c:v>2024-10-08 10</c:v>
                  </c:pt>
                  <c:pt idx="131">
                    <c:v>2024-10-08 11</c:v>
                  </c:pt>
                  <c:pt idx="132">
                    <c:v>2024-10-08 12</c:v>
                  </c:pt>
                  <c:pt idx="133">
                    <c:v>2024-10-08 13</c:v>
                  </c:pt>
                  <c:pt idx="134">
                    <c:v>2024-10-08 14</c:v>
                  </c:pt>
                  <c:pt idx="135">
                    <c:v>2024-10-08 15</c:v>
                  </c:pt>
                  <c:pt idx="136">
                    <c:v>2024-10-08 16</c:v>
                  </c:pt>
                  <c:pt idx="137">
                    <c:v>2024-10-08 17</c:v>
                  </c:pt>
                  <c:pt idx="138">
                    <c:v>2024-10-08 18</c:v>
                  </c:pt>
                  <c:pt idx="139">
                    <c:v>2024-10-08 19</c:v>
                  </c:pt>
                  <c:pt idx="140">
                    <c:v>2024-10-08 20</c:v>
                  </c:pt>
                  <c:pt idx="141">
                    <c:v>2024-10-08 21</c:v>
                  </c:pt>
                  <c:pt idx="142">
                    <c:v>2024-10-08 22</c:v>
                  </c:pt>
                  <c:pt idx="143">
                    <c:v>2024-10-08 23</c:v>
                  </c:pt>
                  <c:pt idx="144">
                    <c:v>2024-10-09 00</c:v>
                  </c:pt>
                  <c:pt idx="145">
                    <c:v>2024-10-09 01</c:v>
                  </c:pt>
                  <c:pt idx="146">
                    <c:v>2024-10-09 02</c:v>
                  </c:pt>
                  <c:pt idx="147">
                    <c:v>2024-10-09 03</c:v>
                  </c:pt>
                  <c:pt idx="148">
                    <c:v>2024-10-09 04</c:v>
                  </c:pt>
                  <c:pt idx="149">
                    <c:v>2024-10-09 05</c:v>
                  </c:pt>
                  <c:pt idx="150">
                    <c:v>2024-10-09 06</c:v>
                  </c:pt>
                  <c:pt idx="151">
                    <c:v>2024-10-09 07</c:v>
                  </c:pt>
                  <c:pt idx="152">
                    <c:v>2024-10-09 08</c:v>
                  </c:pt>
                  <c:pt idx="153">
                    <c:v>2024-10-09 09</c:v>
                  </c:pt>
                  <c:pt idx="154">
                    <c:v>2024-10-09 10</c:v>
                  </c:pt>
                  <c:pt idx="155">
                    <c:v>2024-10-09 11</c:v>
                  </c:pt>
                  <c:pt idx="156">
                    <c:v>2024-10-09 12</c:v>
                  </c:pt>
                  <c:pt idx="157">
                    <c:v>2024-10-09 13</c:v>
                  </c:pt>
                  <c:pt idx="158">
                    <c:v>2024-10-09 14</c:v>
                  </c:pt>
                  <c:pt idx="159">
                    <c:v>2024-10-09 15</c:v>
                  </c:pt>
                  <c:pt idx="160">
                    <c:v>2024-10-09 16</c:v>
                  </c:pt>
                  <c:pt idx="161">
                    <c:v>2024-10-09 17</c:v>
                  </c:pt>
                  <c:pt idx="162">
                    <c:v>2024-10-09 18</c:v>
                  </c:pt>
                  <c:pt idx="163">
                    <c:v>2024-10-09 19</c:v>
                  </c:pt>
                  <c:pt idx="164">
                    <c:v>2024-10-09 20</c:v>
                  </c:pt>
                  <c:pt idx="165">
                    <c:v>2024-10-09 21</c:v>
                  </c:pt>
                  <c:pt idx="166">
                    <c:v>2024-10-09 22</c:v>
                  </c:pt>
                  <c:pt idx="167">
                    <c:v>2024-10-09 23</c:v>
                  </c:pt>
                  <c:pt idx="168">
                    <c:v>2024-10-10 00</c:v>
                  </c:pt>
                  <c:pt idx="169">
                    <c:v>2024-10-10 01</c:v>
                  </c:pt>
                  <c:pt idx="170">
                    <c:v>2024-10-10 02</c:v>
                  </c:pt>
                  <c:pt idx="171">
                    <c:v>2024-10-10 03</c:v>
                  </c:pt>
                  <c:pt idx="172">
                    <c:v>2024-10-10 04</c:v>
                  </c:pt>
                  <c:pt idx="173">
                    <c:v>2024-10-10 05</c:v>
                  </c:pt>
                  <c:pt idx="174">
                    <c:v>2024-10-10 06</c:v>
                  </c:pt>
                  <c:pt idx="175">
                    <c:v>2024-10-10 07</c:v>
                  </c:pt>
                  <c:pt idx="176">
                    <c:v>2024-10-10 08</c:v>
                  </c:pt>
                  <c:pt idx="177">
                    <c:v>2024-10-10 09</c:v>
                  </c:pt>
                  <c:pt idx="178">
                    <c:v>2024-10-10 10</c:v>
                  </c:pt>
                  <c:pt idx="179">
                    <c:v>2024-10-10 11</c:v>
                  </c:pt>
                  <c:pt idx="180">
                    <c:v>2024-10-10 12</c:v>
                  </c:pt>
                  <c:pt idx="181">
                    <c:v>2024-10-10 13</c:v>
                  </c:pt>
                  <c:pt idx="182">
                    <c:v>2024-10-10 14</c:v>
                  </c:pt>
                  <c:pt idx="183">
                    <c:v>2024-10-10 15</c:v>
                  </c:pt>
                  <c:pt idx="184">
                    <c:v>2024-10-10 16</c:v>
                  </c:pt>
                  <c:pt idx="185">
                    <c:v>2024-10-10 17</c:v>
                  </c:pt>
                  <c:pt idx="186">
                    <c:v>2024-10-10 18</c:v>
                  </c:pt>
                  <c:pt idx="187">
                    <c:v>2024-10-10 19</c:v>
                  </c:pt>
                  <c:pt idx="188">
                    <c:v>2024-10-10 20</c:v>
                  </c:pt>
                  <c:pt idx="189">
                    <c:v>2024-10-10 21</c:v>
                  </c:pt>
                  <c:pt idx="190">
                    <c:v>2024-10-10 22</c:v>
                  </c:pt>
                  <c:pt idx="191">
                    <c:v>2024-10-10 23</c:v>
                  </c:pt>
                  <c:pt idx="192">
                    <c:v>2024-10-11 00</c:v>
                  </c:pt>
                  <c:pt idx="193">
                    <c:v>2024-10-11 01</c:v>
                  </c:pt>
                  <c:pt idx="194">
                    <c:v>2024-10-11 02</c:v>
                  </c:pt>
                  <c:pt idx="195">
                    <c:v>2024-10-11 03</c:v>
                  </c:pt>
                  <c:pt idx="196">
                    <c:v>2024-10-11 04</c:v>
                  </c:pt>
                  <c:pt idx="197">
                    <c:v>2024-10-11 05</c:v>
                  </c:pt>
                  <c:pt idx="198">
                    <c:v>2024-10-11 06</c:v>
                  </c:pt>
                  <c:pt idx="199">
                    <c:v>2024-10-11 07</c:v>
                  </c:pt>
                  <c:pt idx="200">
                    <c:v>2024-10-11 08</c:v>
                  </c:pt>
                  <c:pt idx="201">
                    <c:v>2024-10-11 09</c:v>
                  </c:pt>
                  <c:pt idx="202">
                    <c:v>2024-10-11 10</c:v>
                  </c:pt>
                  <c:pt idx="203">
                    <c:v>2024-10-11 11</c:v>
                  </c:pt>
                  <c:pt idx="204">
                    <c:v>2024-10-11 12</c:v>
                  </c:pt>
                  <c:pt idx="205">
                    <c:v>2024-10-11 13</c:v>
                  </c:pt>
                  <c:pt idx="206">
                    <c:v>2024-10-11 14</c:v>
                  </c:pt>
                  <c:pt idx="207">
                    <c:v>2024-10-11 15</c:v>
                  </c:pt>
                  <c:pt idx="208">
                    <c:v>2024-10-11 16</c:v>
                  </c:pt>
                  <c:pt idx="209">
                    <c:v>2024-10-11 17</c:v>
                  </c:pt>
                  <c:pt idx="210">
                    <c:v>2024-10-11 18</c:v>
                  </c:pt>
                  <c:pt idx="211">
                    <c:v>2024-10-11 19</c:v>
                  </c:pt>
                  <c:pt idx="212">
                    <c:v>2024-10-11 20</c:v>
                  </c:pt>
                  <c:pt idx="213">
                    <c:v>2024-10-11 21</c:v>
                  </c:pt>
                  <c:pt idx="214">
                    <c:v>2024-10-11 22</c:v>
                  </c:pt>
                  <c:pt idx="215">
                    <c:v>2024-10-11 23</c:v>
                  </c:pt>
                  <c:pt idx="216">
                    <c:v>2024-10-14 00</c:v>
                  </c:pt>
                  <c:pt idx="217">
                    <c:v>2024-10-14 01</c:v>
                  </c:pt>
                  <c:pt idx="218">
                    <c:v>2024-10-14 02</c:v>
                  </c:pt>
                  <c:pt idx="219">
                    <c:v>2024-10-14 03</c:v>
                  </c:pt>
                  <c:pt idx="220">
                    <c:v>2024-10-14 04</c:v>
                  </c:pt>
                  <c:pt idx="221">
                    <c:v>2024-10-14 05</c:v>
                  </c:pt>
                  <c:pt idx="222">
                    <c:v>2024-10-14 06</c:v>
                  </c:pt>
                  <c:pt idx="223">
                    <c:v>2024-10-14 07</c:v>
                  </c:pt>
                  <c:pt idx="224">
                    <c:v>2024-10-14 08</c:v>
                  </c:pt>
                  <c:pt idx="225">
                    <c:v>2024-10-14 09</c:v>
                  </c:pt>
                  <c:pt idx="226">
                    <c:v>2024-10-14 10</c:v>
                  </c:pt>
                  <c:pt idx="227">
                    <c:v>2024-10-14 11</c:v>
                  </c:pt>
                  <c:pt idx="228">
                    <c:v>2024-10-14 12</c:v>
                  </c:pt>
                  <c:pt idx="229">
                    <c:v>2024-10-14 13</c:v>
                  </c:pt>
                  <c:pt idx="230">
                    <c:v>2024-10-14 14</c:v>
                  </c:pt>
                  <c:pt idx="231">
                    <c:v>2024-10-14 15</c:v>
                  </c:pt>
                  <c:pt idx="232">
                    <c:v>2024-10-14 16</c:v>
                  </c:pt>
                  <c:pt idx="233">
                    <c:v>2024-10-14 17</c:v>
                  </c:pt>
                  <c:pt idx="234">
                    <c:v>2024-10-14 18</c:v>
                  </c:pt>
                  <c:pt idx="235">
                    <c:v>2024-10-14 19</c:v>
                  </c:pt>
                  <c:pt idx="236">
                    <c:v>2024-10-14 20</c:v>
                  </c:pt>
                  <c:pt idx="237">
                    <c:v>2024-10-14 21</c:v>
                  </c:pt>
                  <c:pt idx="238">
                    <c:v>2024-10-14 22</c:v>
                  </c:pt>
                  <c:pt idx="239">
                    <c:v>2024-10-14 23</c:v>
                  </c:pt>
                  <c:pt idx="240">
                    <c:v>2024-10-15 00</c:v>
                  </c:pt>
                  <c:pt idx="241">
                    <c:v>2024-10-15 01</c:v>
                  </c:pt>
                  <c:pt idx="242">
                    <c:v>2024-10-15 02</c:v>
                  </c:pt>
                  <c:pt idx="243">
                    <c:v>2024-10-15 03</c:v>
                  </c:pt>
                  <c:pt idx="244">
                    <c:v>2024-10-15 04</c:v>
                  </c:pt>
                  <c:pt idx="245">
                    <c:v>2024-10-15 05</c:v>
                  </c:pt>
                  <c:pt idx="246">
                    <c:v>2024-10-15 06</c:v>
                  </c:pt>
                  <c:pt idx="247">
                    <c:v>2024-10-15 07</c:v>
                  </c:pt>
                  <c:pt idx="248">
                    <c:v>2024-10-15 08</c:v>
                  </c:pt>
                  <c:pt idx="249">
                    <c:v>2024-10-15 09</c:v>
                  </c:pt>
                  <c:pt idx="250">
                    <c:v>2024-10-15 10</c:v>
                  </c:pt>
                  <c:pt idx="251">
                    <c:v>2024-10-15 11</c:v>
                  </c:pt>
                  <c:pt idx="252">
                    <c:v>2024-10-15 12</c:v>
                  </c:pt>
                  <c:pt idx="253">
                    <c:v>2024-10-15 13</c:v>
                  </c:pt>
                  <c:pt idx="254">
                    <c:v>2024-10-15 14</c:v>
                  </c:pt>
                  <c:pt idx="255">
                    <c:v>2024-10-15 15</c:v>
                  </c:pt>
                  <c:pt idx="256">
                    <c:v>2024-10-15 16</c:v>
                  </c:pt>
                  <c:pt idx="257">
                    <c:v>2024-10-15 17</c:v>
                  </c:pt>
                  <c:pt idx="258">
                    <c:v>2024-10-15 18</c:v>
                  </c:pt>
                  <c:pt idx="259">
                    <c:v>2024-10-15 19</c:v>
                  </c:pt>
                  <c:pt idx="260">
                    <c:v>2024-10-15 20</c:v>
                  </c:pt>
                  <c:pt idx="261">
                    <c:v>2024-10-15 21</c:v>
                  </c:pt>
                  <c:pt idx="262">
                    <c:v>2024-10-15 22</c:v>
                  </c:pt>
                  <c:pt idx="263">
                    <c:v>2024-10-15 23</c:v>
                  </c:pt>
                  <c:pt idx="264">
                    <c:v>2024-10-16 00</c:v>
                  </c:pt>
                  <c:pt idx="265">
                    <c:v>2024-10-16 01</c:v>
                  </c:pt>
                  <c:pt idx="266">
                    <c:v>2024-10-16 02</c:v>
                  </c:pt>
                  <c:pt idx="267">
                    <c:v>2024-10-16 03</c:v>
                  </c:pt>
                  <c:pt idx="268">
                    <c:v>2024-10-16 04</c:v>
                  </c:pt>
                  <c:pt idx="269">
                    <c:v>2024-10-16 05</c:v>
                  </c:pt>
                  <c:pt idx="270">
                    <c:v>2024-10-16 06</c:v>
                  </c:pt>
                  <c:pt idx="271">
                    <c:v>2024-10-16 07</c:v>
                  </c:pt>
                  <c:pt idx="272">
                    <c:v>2024-10-16 08</c:v>
                  </c:pt>
                  <c:pt idx="273">
                    <c:v>2024-10-16 09</c:v>
                  </c:pt>
                  <c:pt idx="274">
                    <c:v>2024-10-16 10</c:v>
                  </c:pt>
                  <c:pt idx="275">
                    <c:v>2024-10-16 11</c:v>
                  </c:pt>
                  <c:pt idx="276">
                    <c:v>2024-10-16 12</c:v>
                  </c:pt>
                  <c:pt idx="277">
                    <c:v>2024-10-16 13</c:v>
                  </c:pt>
                  <c:pt idx="278">
                    <c:v>2024-10-16 14</c:v>
                  </c:pt>
                  <c:pt idx="279">
                    <c:v>2024-10-16 15</c:v>
                  </c:pt>
                  <c:pt idx="280">
                    <c:v>2024-10-16 16</c:v>
                  </c:pt>
                  <c:pt idx="281">
                    <c:v>2024-10-16 17</c:v>
                  </c:pt>
                  <c:pt idx="282">
                    <c:v>2024-10-16 18</c:v>
                  </c:pt>
                  <c:pt idx="283">
                    <c:v>2024-10-16 19</c:v>
                  </c:pt>
                  <c:pt idx="284">
                    <c:v>2024-10-16 20</c:v>
                  </c:pt>
                  <c:pt idx="285">
                    <c:v>2024-10-16 21</c:v>
                  </c:pt>
                  <c:pt idx="286">
                    <c:v>2024-10-16 22</c:v>
                  </c:pt>
                  <c:pt idx="287">
                    <c:v>2024-10-16 23</c:v>
                  </c:pt>
                  <c:pt idx="288">
                    <c:v>2024-10-17 00</c:v>
                  </c:pt>
                  <c:pt idx="289">
                    <c:v>2024-10-17 01</c:v>
                  </c:pt>
                  <c:pt idx="290">
                    <c:v>2024-10-17 02</c:v>
                  </c:pt>
                  <c:pt idx="291">
                    <c:v>2024-10-17 03</c:v>
                  </c:pt>
                  <c:pt idx="292">
                    <c:v>2024-10-17 04</c:v>
                  </c:pt>
                  <c:pt idx="293">
                    <c:v>2024-10-17 05</c:v>
                  </c:pt>
                  <c:pt idx="294">
                    <c:v>2024-10-17 06</c:v>
                  </c:pt>
                  <c:pt idx="295">
                    <c:v>2024-10-17 07</c:v>
                  </c:pt>
                  <c:pt idx="296">
                    <c:v>2024-10-17 08</c:v>
                  </c:pt>
                  <c:pt idx="297">
                    <c:v>2024-10-17 09</c:v>
                  </c:pt>
                  <c:pt idx="298">
                    <c:v>2024-10-17 10</c:v>
                  </c:pt>
                  <c:pt idx="299">
                    <c:v>2024-10-17 11</c:v>
                  </c:pt>
                  <c:pt idx="300">
                    <c:v>2024-10-17 12</c:v>
                  </c:pt>
                  <c:pt idx="301">
                    <c:v>2024-10-17 13</c:v>
                  </c:pt>
                  <c:pt idx="302">
                    <c:v>2024-10-17 14</c:v>
                  </c:pt>
                  <c:pt idx="303">
                    <c:v>2024-10-17 15</c:v>
                  </c:pt>
                  <c:pt idx="304">
                    <c:v>2024-10-17 16</c:v>
                  </c:pt>
                  <c:pt idx="305">
                    <c:v>2024-10-17 17</c:v>
                  </c:pt>
                  <c:pt idx="306">
                    <c:v>2024-10-17 18</c:v>
                  </c:pt>
                  <c:pt idx="307">
                    <c:v>2024-10-17 19</c:v>
                  </c:pt>
                  <c:pt idx="308">
                    <c:v>2024-10-17 20</c:v>
                  </c:pt>
                  <c:pt idx="309">
                    <c:v>2024-10-17 21</c:v>
                  </c:pt>
                  <c:pt idx="310">
                    <c:v>2024-10-17 22</c:v>
                  </c:pt>
                  <c:pt idx="311">
                    <c:v>2024-10-17 23</c:v>
                  </c:pt>
                  <c:pt idx="312">
                    <c:v>2024-10-18 00</c:v>
                  </c:pt>
                  <c:pt idx="313">
                    <c:v>2024-10-18 01</c:v>
                  </c:pt>
                  <c:pt idx="314">
                    <c:v>2024-10-18 02</c:v>
                  </c:pt>
                  <c:pt idx="315">
                    <c:v>2024-10-18 03</c:v>
                  </c:pt>
                  <c:pt idx="316">
                    <c:v>2024-10-18 04</c:v>
                  </c:pt>
                  <c:pt idx="317">
                    <c:v>2024-10-18 05</c:v>
                  </c:pt>
                  <c:pt idx="318">
                    <c:v>2024-10-18 06</c:v>
                  </c:pt>
                  <c:pt idx="319">
                    <c:v>2024-10-18 07</c:v>
                  </c:pt>
                  <c:pt idx="320">
                    <c:v>2024-10-18 08</c:v>
                  </c:pt>
                  <c:pt idx="321">
                    <c:v>2024-10-18 09</c:v>
                  </c:pt>
                  <c:pt idx="322">
                    <c:v>2024-10-18 10</c:v>
                  </c:pt>
                  <c:pt idx="323">
                    <c:v>2024-10-18 11</c:v>
                  </c:pt>
                  <c:pt idx="324">
                    <c:v>2024-10-18 12</c:v>
                  </c:pt>
                  <c:pt idx="325">
                    <c:v>2024-10-18 13</c:v>
                  </c:pt>
                  <c:pt idx="326">
                    <c:v>2024-10-18 14</c:v>
                  </c:pt>
                  <c:pt idx="327">
                    <c:v>2024-10-18 15</c:v>
                  </c:pt>
                  <c:pt idx="328">
                    <c:v>2024-10-18 16</c:v>
                  </c:pt>
                  <c:pt idx="329">
                    <c:v>2024-10-18 17</c:v>
                  </c:pt>
                  <c:pt idx="330">
                    <c:v>2024-10-18 18</c:v>
                  </c:pt>
                  <c:pt idx="331">
                    <c:v>2024-10-18 19</c:v>
                  </c:pt>
                  <c:pt idx="332">
                    <c:v>2024-10-18 20</c:v>
                  </c:pt>
                  <c:pt idx="333">
                    <c:v>2024-10-18 21</c:v>
                  </c:pt>
                  <c:pt idx="334">
                    <c:v>2024-10-18 22</c:v>
                  </c:pt>
                  <c:pt idx="335">
                    <c:v>2024-10-18 23</c:v>
                  </c:pt>
                  <c:pt idx="336">
                    <c:v>2024-10-21 00</c:v>
                  </c:pt>
                  <c:pt idx="337">
                    <c:v>2024-10-21 01</c:v>
                  </c:pt>
                  <c:pt idx="338">
                    <c:v>2024-10-21 02</c:v>
                  </c:pt>
                  <c:pt idx="339">
                    <c:v>2024-10-21 03</c:v>
                  </c:pt>
                  <c:pt idx="340">
                    <c:v>2024-10-21 04</c:v>
                  </c:pt>
                  <c:pt idx="341">
                    <c:v>2024-10-21 05</c:v>
                  </c:pt>
                  <c:pt idx="342">
                    <c:v>2024-10-21 06</c:v>
                  </c:pt>
                  <c:pt idx="343">
                    <c:v>2024-10-21 07</c:v>
                  </c:pt>
                  <c:pt idx="344">
                    <c:v>2024-10-21 08</c:v>
                  </c:pt>
                  <c:pt idx="345">
                    <c:v>2024-10-21 09</c:v>
                  </c:pt>
                  <c:pt idx="346">
                    <c:v>2024-10-21 10</c:v>
                  </c:pt>
                  <c:pt idx="347">
                    <c:v>2024-10-21 11</c:v>
                  </c:pt>
                  <c:pt idx="348">
                    <c:v>2024-10-21 12</c:v>
                  </c:pt>
                  <c:pt idx="349">
                    <c:v>2024-10-21 13</c:v>
                  </c:pt>
                  <c:pt idx="350">
                    <c:v>2024-10-21 14</c:v>
                  </c:pt>
                  <c:pt idx="351">
                    <c:v>2024-10-21 15</c:v>
                  </c:pt>
                  <c:pt idx="352">
                    <c:v>2024-10-21 16</c:v>
                  </c:pt>
                  <c:pt idx="353">
                    <c:v>2024-10-21 17</c:v>
                  </c:pt>
                  <c:pt idx="354">
                    <c:v>2024-10-21 18</c:v>
                  </c:pt>
                  <c:pt idx="355">
                    <c:v>2024-10-21 19</c:v>
                  </c:pt>
                  <c:pt idx="356">
                    <c:v>2024-10-21 20</c:v>
                  </c:pt>
                  <c:pt idx="357">
                    <c:v>2024-10-21 21</c:v>
                  </c:pt>
                  <c:pt idx="358">
                    <c:v>2024-10-21 22</c:v>
                  </c:pt>
                  <c:pt idx="359">
                    <c:v>2024-10-21 23</c:v>
                  </c:pt>
                  <c:pt idx="360">
                    <c:v>2024-10-22 00</c:v>
                  </c:pt>
                  <c:pt idx="361">
                    <c:v>2024-10-22 01</c:v>
                  </c:pt>
                  <c:pt idx="362">
                    <c:v>2024-10-22 02</c:v>
                  </c:pt>
                  <c:pt idx="363">
                    <c:v>2024-10-22 03</c:v>
                  </c:pt>
                  <c:pt idx="364">
                    <c:v>2024-10-22 04</c:v>
                  </c:pt>
                  <c:pt idx="365">
                    <c:v>2024-10-22 05</c:v>
                  </c:pt>
                  <c:pt idx="366">
                    <c:v>2024-10-22 06</c:v>
                  </c:pt>
                  <c:pt idx="367">
                    <c:v>2024-10-22 07</c:v>
                  </c:pt>
                  <c:pt idx="368">
                    <c:v>2024-10-22 08</c:v>
                  </c:pt>
                  <c:pt idx="369">
                    <c:v>2024-10-22 09</c:v>
                  </c:pt>
                  <c:pt idx="370">
                    <c:v>2024-10-22 10</c:v>
                  </c:pt>
                  <c:pt idx="371">
                    <c:v>2024-10-22 11</c:v>
                  </c:pt>
                  <c:pt idx="372">
                    <c:v>2024-10-22 12</c:v>
                  </c:pt>
                  <c:pt idx="373">
                    <c:v>2024-10-22 13</c:v>
                  </c:pt>
                  <c:pt idx="374">
                    <c:v>2024-10-22 14</c:v>
                  </c:pt>
                  <c:pt idx="375">
                    <c:v>2024-10-22 15</c:v>
                  </c:pt>
                  <c:pt idx="376">
                    <c:v>2024-10-22 16</c:v>
                  </c:pt>
                  <c:pt idx="377">
                    <c:v>2024-10-22 17</c:v>
                  </c:pt>
                  <c:pt idx="378">
                    <c:v>2024-10-22 18</c:v>
                  </c:pt>
                  <c:pt idx="379">
                    <c:v>2024-10-22 19</c:v>
                  </c:pt>
                  <c:pt idx="380">
                    <c:v>2024-10-22 20</c:v>
                  </c:pt>
                  <c:pt idx="381">
                    <c:v>2024-10-22 21</c:v>
                  </c:pt>
                  <c:pt idx="382">
                    <c:v>2024-10-22 22</c:v>
                  </c:pt>
                  <c:pt idx="383">
                    <c:v>2024-10-22 23</c:v>
                  </c:pt>
                  <c:pt idx="384">
                    <c:v>2024-10-23 00</c:v>
                  </c:pt>
                  <c:pt idx="385">
                    <c:v>2024-10-23 01</c:v>
                  </c:pt>
                  <c:pt idx="386">
                    <c:v>2024-10-23 02</c:v>
                  </c:pt>
                  <c:pt idx="387">
                    <c:v>2024-10-23 03</c:v>
                  </c:pt>
                  <c:pt idx="388">
                    <c:v>2024-10-23 04</c:v>
                  </c:pt>
                  <c:pt idx="389">
                    <c:v>2024-10-23 05</c:v>
                  </c:pt>
                  <c:pt idx="390">
                    <c:v>2024-10-23 06</c:v>
                  </c:pt>
                  <c:pt idx="391">
                    <c:v>2024-10-23 07</c:v>
                  </c:pt>
                  <c:pt idx="392">
                    <c:v>2024-10-23 08</c:v>
                  </c:pt>
                  <c:pt idx="393">
                    <c:v>2024-10-23 09</c:v>
                  </c:pt>
                  <c:pt idx="394">
                    <c:v>2024-10-23 10</c:v>
                  </c:pt>
                  <c:pt idx="395">
                    <c:v>2024-10-23 11</c:v>
                  </c:pt>
                  <c:pt idx="396">
                    <c:v>2024-10-23 12</c:v>
                  </c:pt>
                  <c:pt idx="397">
                    <c:v>2024-10-23 13</c:v>
                  </c:pt>
                  <c:pt idx="398">
                    <c:v>2024-10-23 14</c:v>
                  </c:pt>
                  <c:pt idx="399">
                    <c:v>2024-10-23 15</c:v>
                  </c:pt>
                  <c:pt idx="400">
                    <c:v>2024-10-23 16</c:v>
                  </c:pt>
                  <c:pt idx="401">
                    <c:v>2024-10-23 17</c:v>
                  </c:pt>
                  <c:pt idx="402">
                    <c:v>2024-10-23 18</c:v>
                  </c:pt>
                  <c:pt idx="403">
                    <c:v>2024-10-23 19</c:v>
                  </c:pt>
                  <c:pt idx="404">
                    <c:v>2024-10-23 20</c:v>
                  </c:pt>
                  <c:pt idx="405">
                    <c:v>2024-10-23 21</c:v>
                  </c:pt>
                  <c:pt idx="406">
                    <c:v>2024-10-23 22</c:v>
                  </c:pt>
                  <c:pt idx="407">
                    <c:v>2024-10-23 23</c:v>
                  </c:pt>
                  <c:pt idx="408">
                    <c:v>2024-10-24 00</c:v>
                  </c:pt>
                  <c:pt idx="409">
                    <c:v>2024-10-24 01</c:v>
                  </c:pt>
                  <c:pt idx="410">
                    <c:v>2024-10-24 02</c:v>
                  </c:pt>
                  <c:pt idx="411">
                    <c:v>2024-10-24 03</c:v>
                  </c:pt>
                  <c:pt idx="412">
                    <c:v>2024-10-24 04</c:v>
                  </c:pt>
                  <c:pt idx="413">
                    <c:v>2024-10-24 05</c:v>
                  </c:pt>
                  <c:pt idx="414">
                    <c:v>2024-10-24 06</c:v>
                  </c:pt>
                  <c:pt idx="415">
                    <c:v>2024-10-24 07</c:v>
                  </c:pt>
                  <c:pt idx="416">
                    <c:v>2024-10-24 08</c:v>
                  </c:pt>
                  <c:pt idx="417">
                    <c:v>2024-10-24 09</c:v>
                  </c:pt>
                  <c:pt idx="418">
                    <c:v>2024-10-24 10</c:v>
                  </c:pt>
                  <c:pt idx="419">
                    <c:v>2024-10-24 11</c:v>
                  </c:pt>
                  <c:pt idx="420">
                    <c:v>2024-10-24 12</c:v>
                  </c:pt>
                  <c:pt idx="421">
                    <c:v>2024-10-24 13</c:v>
                  </c:pt>
                  <c:pt idx="422">
                    <c:v>2024-10-24 14</c:v>
                  </c:pt>
                  <c:pt idx="423">
                    <c:v>2024-10-24 15</c:v>
                  </c:pt>
                  <c:pt idx="424">
                    <c:v>2024-10-24 16</c:v>
                  </c:pt>
                  <c:pt idx="425">
                    <c:v>2024-10-24 17</c:v>
                  </c:pt>
                  <c:pt idx="426">
                    <c:v>2024-10-24 18</c:v>
                  </c:pt>
                  <c:pt idx="427">
                    <c:v>2024-10-24 19</c:v>
                  </c:pt>
                  <c:pt idx="428">
                    <c:v>2024-10-24 20</c:v>
                  </c:pt>
                  <c:pt idx="429">
                    <c:v>2024-10-24 21</c:v>
                  </c:pt>
                  <c:pt idx="430">
                    <c:v>2024-10-24 22</c:v>
                  </c:pt>
                  <c:pt idx="431">
                    <c:v>2024-10-24 23</c:v>
                  </c:pt>
                  <c:pt idx="432">
                    <c:v>2024-10-25 00</c:v>
                  </c:pt>
                  <c:pt idx="433">
                    <c:v>2024-10-25 01</c:v>
                  </c:pt>
                  <c:pt idx="434">
                    <c:v>2024-10-25 02</c:v>
                  </c:pt>
                  <c:pt idx="435">
                    <c:v>2024-10-25 03</c:v>
                  </c:pt>
                  <c:pt idx="436">
                    <c:v>2024-10-25 04</c:v>
                  </c:pt>
                  <c:pt idx="437">
                    <c:v>2024-10-25 05</c:v>
                  </c:pt>
                  <c:pt idx="438">
                    <c:v>2024-10-25 06</c:v>
                  </c:pt>
                  <c:pt idx="439">
                    <c:v>2024-10-25 07</c:v>
                  </c:pt>
                  <c:pt idx="440">
                    <c:v>2024-10-25 08</c:v>
                  </c:pt>
                  <c:pt idx="441">
                    <c:v>2024-10-25 09</c:v>
                  </c:pt>
                  <c:pt idx="442">
                    <c:v>2024-10-25 10</c:v>
                  </c:pt>
                  <c:pt idx="443">
                    <c:v>2024-10-25 11</c:v>
                  </c:pt>
                  <c:pt idx="444">
                    <c:v>2024-10-25 12</c:v>
                  </c:pt>
                  <c:pt idx="445">
                    <c:v>2024-10-25 13</c:v>
                  </c:pt>
                  <c:pt idx="446">
                    <c:v>2024-10-25 14</c:v>
                  </c:pt>
                  <c:pt idx="447">
                    <c:v>2024-10-25 15</c:v>
                  </c:pt>
                  <c:pt idx="448">
                    <c:v>2024-10-25 16</c:v>
                  </c:pt>
                  <c:pt idx="449">
                    <c:v>2024-10-25 17</c:v>
                  </c:pt>
                  <c:pt idx="450">
                    <c:v>2024-10-25 18</c:v>
                  </c:pt>
                  <c:pt idx="451">
                    <c:v>2024-10-25 19</c:v>
                  </c:pt>
                  <c:pt idx="452">
                    <c:v>2024-10-25 20</c:v>
                  </c:pt>
                  <c:pt idx="453">
                    <c:v>2024-10-25 21</c:v>
                  </c:pt>
                  <c:pt idx="454">
                    <c:v>2024-10-25 22</c:v>
                  </c:pt>
                  <c:pt idx="455">
                    <c:v>2024-10-25 23</c:v>
                  </c:pt>
                  <c:pt idx="456">
                    <c:v>2024-10-28 00</c:v>
                  </c:pt>
                  <c:pt idx="457">
                    <c:v>2024-10-28 01</c:v>
                  </c:pt>
                  <c:pt idx="458">
                    <c:v>2024-10-28 02</c:v>
                  </c:pt>
                  <c:pt idx="459">
                    <c:v>2024-10-28 03</c:v>
                  </c:pt>
                  <c:pt idx="460">
                    <c:v>2024-10-28 04</c:v>
                  </c:pt>
                  <c:pt idx="461">
                    <c:v>2024-10-28 05</c:v>
                  </c:pt>
                  <c:pt idx="462">
                    <c:v>2024-10-28 06</c:v>
                  </c:pt>
                  <c:pt idx="463">
                    <c:v>2024-10-28 07</c:v>
                  </c:pt>
                  <c:pt idx="464">
                    <c:v>2024-10-28 08</c:v>
                  </c:pt>
                  <c:pt idx="465">
                    <c:v>2024-10-28 09</c:v>
                  </c:pt>
                  <c:pt idx="466">
                    <c:v>2024-10-28 10</c:v>
                  </c:pt>
                  <c:pt idx="467">
                    <c:v>2024-10-28 11</c:v>
                  </c:pt>
                  <c:pt idx="468">
                    <c:v>2024-10-28 12</c:v>
                  </c:pt>
                  <c:pt idx="469">
                    <c:v>2024-10-28 13</c:v>
                  </c:pt>
                  <c:pt idx="470">
                    <c:v>2024-10-28 14</c:v>
                  </c:pt>
                  <c:pt idx="471">
                    <c:v>2024-10-28 15</c:v>
                  </c:pt>
                  <c:pt idx="472">
                    <c:v>2024-10-28 16</c:v>
                  </c:pt>
                  <c:pt idx="473">
                    <c:v>2024-10-28 17</c:v>
                  </c:pt>
                  <c:pt idx="474">
                    <c:v>2024-10-28 18</c:v>
                  </c:pt>
                  <c:pt idx="475">
                    <c:v>2024-10-28 19</c:v>
                  </c:pt>
                  <c:pt idx="476">
                    <c:v>2024-10-28 20</c:v>
                  </c:pt>
                  <c:pt idx="477">
                    <c:v>2024-10-28 21</c:v>
                  </c:pt>
                  <c:pt idx="478">
                    <c:v>2024-10-28 22</c:v>
                  </c:pt>
                  <c:pt idx="479">
                    <c:v>2024-10-28 23</c:v>
                  </c:pt>
                  <c:pt idx="480">
                    <c:v>2024-10-29 00</c:v>
                  </c:pt>
                  <c:pt idx="481">
                    <c:v>2024-10-29 01</c:v>
                  </c:pt>
                  <c:pt idx="482">
                    <c:v>2024-10-29 02</c:v>
                  </c:pt>
                  <c:pt idx="483">
                    <c:v>2024-10-29 03</c:v>
                  </c:pt>
                  <c:pt idx="484">
                    <c:v>2024-10-29 04</c:v>
                  </c:pt>
                  <c:pt idx="485">
                    <c:v>2024-10-29 05</c:v>
                  </c:pt>
                  <c:pt idx="486">
                    <c:v>2024-10-29 06</c:v>
                  </c:pt>
                  <c:pt idx="487">
                    <c:v>2024-10-29 07</c:v>
                  </c:pt>
                  <c:pt idx="488">
                    <c:v>2024-10-29 08</c:v>
                  </c:pt>
                  <c:pt idx="489">
                    <c:v>2024-10-29 09</c:v>
                  </c:pt>
                  <c:pt idx="490">
                    <c:v>2024-10-29 10</c:v>
                  </c:pt>
                  <c:pt idx="491">
                    <c:v>2024-10-29 11</c:v>
                  </c:pt>
                  <c:pt idx="492">
                    <c:v>2024-10-29 12</c:v>
                  </c:pt>
                  <c:pt idx="493">
                    <c:v>2024-10-29 13</c:v>
                  </c:pt>
                  <c:pt idx="494">
                    <c:v>2024-10-29 14</c:v>
                  </c:pt>
                  <c:pt idx="495">
                    <c:v>2024-10-29 15</c:v>
                  </c:pt>
                  <c:pt idx="496">
                    <c:v>2024-10-29 16</c:v>
                  </c:pt>
                  <c:pt idx="497">
                    <c:v>2024-10-29 17</c:v>
                  </c:pt>
                  <c:pt idx="498">
                    <c:v>2024-10-29 18</c:v>
                  </c:pt>
                  <c:pt idx="499">
                    <c:v>2024-10-29 19</c:v>
                  </c:pt>
                  <c:pt idx="500">
                    <c:v>2024-10-29 20</c:v>
                  </c:pt>
                  <c:pt idx="501">
                    <c:v>2024-10-29 21</c:v>
                  </c:pt>
                  <c:pt idx="502">
                    <c:v>2024-10-29 22</c:v>
                  </c:pt>
                  <c:pt idx="503">
                    <c:v>2024-10-29 23</c:v>
                  </c:pt>
                  <c:pt idx="504">
                    <c:v>2024-10-30 00</c:v>
                  </c:pt>
                  <c:pt idx="505">
                    <c:v>2024-10-30 01</c:v>
                  </c:pt>
                  <c:pt idx="506">
                    <c:v>2024-10-30 02</c:v>
                  </c:pt>
                  <c:pt idx="507">
                    <c:v>2024-10-30 03</c:v>
                  </c:pt>
                  <c:pt idx="508">
                    <c:v>2024-10-30 04</c:v>
                  </c:pt>
                  <c:pt idx="509">
                    <c:v>2024-10-30 05</c:v>
                  </c:pt>
                  <c:pt idx="510">
                    <c:v>2024-10-30 06</c:v>
                  </c:pt>
                  <c:pt idx="511">
                    <c:v>2024-10-30 07</c:v>
                  </c:pt>
                  <c:pt idx="512">
                    <c:v>2024-10-30 08</c:v>
                  </c:pt>
                  <c:pt idx="513">
                    <c:v>2024-10-30 09</c:v>
                  </c:pt>
                  <c:pt idx="514">
                    <c:v>2024-10-30 10</c:v>
                  </c:pt>
                  <c:pt idx="515">
                    <c:v>2024-10-30 11</c:v>
                  </c:pt>
                  <c:pt idx="516">
                    <c:v>2024-10-30 12</c:v>
                  </c:pt>
                  <c:pt idx="517">
                    <c:v>2024-10-30 13</c:v>
                  </c:pt>
                  <c:pt idx="518">
                    <c:v>2024-10-30 14</c:v>
                  </c:pt>
                  <c:pt idx="519">
                    <c:v>2024-10-30 15</c:v>
                  </c:pt>
                  <c:pt idx="520">
                    <c:v>2024-10-30 16</c:v>
                  </c:pt>
                  <c:pt idx="521">
                    <c:v>2024-10-30 17</c:v>
                  </c:pt>
                  <c:pt idx="522">
                    <c:v>2024-10-30 18</c:v>
                  </c:pt>
                  <c:pt idx="523">
                    <c:v>2024-10-30 19</c:v>
                  </c:pt>
                  <c:pt idx="524">
                    <c:v>2024-10-30 20</c:v>
                  </c:pt>
                  <c:pt idx="525">
                    <c:v>2024-10-30 21</c:v>
                  </c:pt>
                  <c:pt idx="526">
                    <c:v>2024-10-30 22</c:v>
                  </c:pt>
                  <c:pt idx="527">
                    <c:v>2024-10-30 23</c:v>
                  </c:pt>
                  <c:pt idx="528">
                    <c:v>2024-10-31 00</c:v>
                  </c:pt>
                  <c:pt idx="529">
                    <c:v>2024-10-31 01</c:v>
                  </c:pt>
                  <c:pt idx="530">
                    <c:v>2024-10-31 02</c:v>
                  </c:pt>
                  <c:pt idx="531">
                    <c:v>2024-10-31 03</c:v>
                  </c:pt>
                  <c:pt idx="532">
                    <c:v>2024-10-31 04</c:v>
                  </c:pt>
                  <c:pt idx="533">
                    <c:v>2024-10-31 00</c:v>
                  </c:pt>
                  <c:pt idx="534">
                    <c:v>2024-10-31 01</c:v>
                  </c:pt>
                  <c:pt idx="535">
                    <c:v>2024-10-31 02</c:v>
                  </c:pt>
                  <c:pt idx="536">
                    <c:v>2024-10-31 03</c:v>
                  </c:pt>
                  <c:pt idx="537">
                    <c:v>2024-10-31 04</c:v>
                  </c:pt>
                  <c:pt idx="538">
                    <c:v>2024-10-31 05</c:v>
                  </c:pt>
                  <c:pt idx="539">
                    <c:v>2024-10-31 06</c:v>
                  </c:pt>
                  <c:pt idx="540">
                    <c:v>2024-10-31 07</c:v>
                  </c:pt>
                  <c:pt idx="541">
                    <c:v>2024-10-31 08</c:v>
                  </c:pt>
                  <c:pt idx="542">
                    <c:v>2024-10-31 09</c:v>
                  </c:pt>
                  <c:pt idx="543">
                    <c:v>2024-10-31 10</c:v>
                  </c:pt>
                  <c:pt idx="544">
                    <c:v>2024-10-31 11</c:v>
                  </c:pt>
                  <c:pt idx="545">
                    <c:v>2024-10-31 12</c:v>
                  </c:pt>
                  <c:pt idx="546">
                    <c:v>2024-10-31 13</c:v>
                  </c:pt>
                  <c:pt idx="547">
                    <c:v>2024-10-31 14</c:v>
                  </c:pt>
                  <c:pt idx="548">
                    <c:v>2024-10-31 15</c:v>
                  </c:pt>
                  <c:pt idx="549">
                    <c:v>2024-10-31 16</c:v>
                  </c:pt>
                  <c:pt idx="550">
                    <c:v>2024-10-31 17</c:v>
                  </c:pt>
                  <c:pt idx="551">
                    <c:v>2024-10-31 18</c:v>
                  </c:pt>
                  <c:pt idx="552">
                    <c:v>2024-10-31 19</c:v>
                  </c:pt>
                  <c:pt idx="553">
                    <c:v>2024-10-31 20</c:v>
                  </c:pt>
                  <c:pt idx="554">
                    <c:v>2024-10-31 21</c:v>
                  </c:pt>
                  <c:pt idx="555">
                    <c:v>2024-10-31 22</c:v>
                  </c:pt>
                  <c:pt idx="556">
                    <c:v>2024-10-31 23</c:v>
                  </c:pt>
                </c:lvl>
              </c:multiLvlStrCache>
            </c:multiLvlStrRef>
          </c:cat>
          <c:val>
            <c:numRef>
              <c:f>Основная_таблица!$D$2:$D$750</c:f>
              <c:numCache>
                <c:formatCode>General</c:formatCode>
                <c:ptCount val="5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67520"/>
        <c:axId val="1182475840"/>
      </c:barChart>
      <c:catAx>
        <c:axId val="11824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2475840"/>
        <c:crosses val="autoZero"/>
        <c:auto val="1"/>
        <c:lblAlgn val="ctr"/>
        <c:lblOffset val="100"/>
        <c:noMultiLvlLbl val="0"/>
      </c:catAx>
      <c:valAx>
        <c:axId val="11824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246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17a626-d3f8-4ab9-ad3d-fe84f96eff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[Расчёты Шамко Денис ПЗ №3.xlsx]Сводная_таблица_по_часам!Сводная таблица6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Сводная_таблица_по_часам!$B$1</c:f>
              <c:strCache>
                <c:ptCount val="1"/>
                <c:pt idx="0">
                  <c:v>Итого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Сводная_таблица_по_часам!$A$2:$A$554</c:f>
              <c:strCache>
                <c:ptCount val="552"/>
                <c:pt idx="0">
                  <c:v>2024-10-01 00</c:v>
                </c:pt>
                <c:pt idx="1">
                  <c:v>2024-10-01 01</c:v>
                </c:pt>
                <c:pt idx="2">
                  <c:v>2024-10-01 02</c:v>
                </c:pt>
                <c:pt idx="3">
                  <c:v>2024-10-01 03</c:v>
                </c:pt>
                <c:pt idx="4">
                  <c:v>2024-10-01 04</c:v>
                </c:pt>
                <c:pt idx="5">
                  <c:v>2024-10-01 05</c:v>
                </c:pt>
                <c:pt idx="6">
                  <c:v>2024-10-01 06</c:v>
                </c:pt>
                <c:pt idx="7">
                  <c:v>2024-10-01 07</c:v>
                </c:pt>
                <c:pt idx="8">
                  <c:v>2024-10-01 08</c:v>
                </c:pt>
                <c:pt idx="9">
                  <c:v>2024-10-01 09</c:v>
                </c:pt>
                <c:pt idx="10">
                  <c:v>2024-10-01 10</c:v>
                </c:pt>
                <c:pt idx="11">
                  <c:v>2024-10-01 11</c:v>
                </c:pt>
                <c:pt idx="12">
                  <c:v>2024-10-01 12</c:v>
                </c:pt>
                <c:pt idx="13">
                  <c:v>2024-10-01 13</c:v>
                </c:pt>
                <c:pt idx="14">
                  <c:v>2024-10-01 14</c:v>
                </c:pt>
                <c:pt idx="15">
                  <c:v>2024-10-01 15</c:v>
                </c:pt>
                <c:pt idx="16">
                  <c:v>2024-10-01 16</c:v>
                </c:pt>
                <c:pt idx="17">
                  <c:v>2024-10-01 17</c:v>
                </c:pt>
                <c:pt idx="18">
                  <c:v>2024-10-01 18</c:v>
                </c:pt>
                <c:pt idx="19">
                  <c:v>2024-10-01 19</c:v>
                </c:pt>
                <c:pt idx="20">
                  <c:v>2024-10-01 20</c:v>
                </c:pt>
                <c:pt idx="21">
                  <c:v>2024-10-01 21</c:v>
                </c:pt>
                <c:pt idx="22">
                  <c:v>2024-10-01 22</c:v>
                </c:pt>
                <c:pt idx="23">
                  <c:v>2024-10-01 23</c:v>
                </c:pt>
                <c:pt idx="24">
                  <c:v>2024-10-02 00</c:v>
                </c:pt>
                <c:pt idx="25">
                  <c:v>2024-10-02 01</c:v>
                </c:pt>
                <c:pt idx="26">
                  <c:v>2024-10-02 02</c:v>
                </c:pt>
                <c:pt idx="27">
                  <c:v>2024-10-02 03</c:v>
                </c:pt>
                <c:pt idx="28">
                  <c:v>2024-10-02 04</c:v>
                </c:pt>
                <c:pt idx="29">
                  <c:v>2024-10-02 05</c:v>
                </c:pt>
                <c:pt idx="30">
                  <c:v>2024-10-02 06</c:v>
                </c:pt>
                <c:pt idx="31">
                  <c:v>2024-10-02 07</c:v>
                </c:pt>
                <c:pt idx="32">
                  <c:v>2024-10-02 08</c:v>
                </c:pt>
                <c:pt idx="33">
                  <c:v>2024-10-02 09</c:v>
                </c:pt>
                <c:pt idx="34">
                  <c:v>2024-10-02 10</c:v>
                </c:pt>
                <c:pt idx="35">
                  <c:v>2024-10-02 11</c:v>
                </c:pt>
                <c:pt idx="36">
                  <c:v>2024-10-02 12</c:v>
                </c:pt>
                <c:pt idx="37">
                  <c:v>2024-10-02 13</c:v>
                </c:pt>
                <c:pt idx="38">
                  <c:v>2024-10-02 14</c:v>
                </c:pt>
                <c:pt idx="39">
                  <c:v>2024-10-02 15</c:v>
                </c:pt>
                <c:pt idx="40">
                  <c:v>2024-10-02 16</c:v>
                </c:pt>
                <c:pt idx="41">
                  <c:v>2024-10-02 17</c:v>
                </c:pt>
                <c:pt idx="42">
                  <c:v>2024-10-02 18</c:v>
                </c:pt>
                <c:pt idx="43">
                  <c:v>2024-10-02 19</c:v>
                </c:pt>
                <c:pt idx="44">
                  <c:v>2024-10-02 20</c:v>
                </c:pt>
                <c:pt idx="45">
                  <c:v>2024-10-02 21</c:v>
                </c:pt>
                <c:pt idx="46">
                  <c:v>2024-10-02 22</c:v>
                </c:pt>
                <c:pt idx="47">
                  <c:v>2024-10-02 23</c:v>
                </c:pt>
                <c:pt idx="48">
                  <c:v>2024-10-03 00</c:v>
                </c:pt>
                <c:pt idx="49">
                  <c:v>2024-10-03 01</c:v>
                </c:pt>
                <c:pt idx="50">
                  <c:v>2024-10-03 02</c:v>
                </c:pt>
                <c:pt idx="51">
                  <c:v>2024-10-03 03</c:v>
                </c:pt>
                <c:pt idx="52">
                  <c:v>2024-10-03 04</c:v>
                </c:pt>
                <c:pt idx="53">
                  <c:v>2024-10-03 05</c:v>
                </c:pt>
                <c:pt idx="54">
                  <c:v>2024-10-03 06</c:v>
                </c:pt>
                <c:pt idx="55">
                  <c:v>2024-10-03 07</c:v>
                </c:pt>
                <c:pt idx="56">
                  <c:v>2024-10-03 08</c:v>
                </c:pt>
                <c:pt idx="57">
                  <c:v>2024-10-03 09</c:v>
                </c:pt>
                <c:pt idx="58">
                  <c:v>2024-10-03 10</c:v>
                </c:pt>
                <c:pt idx="59">
                  <c:v>2024-10-03 11</c:v>
                </c:pt>
                <c:pt idx="60">
                  <c:v>2024-10-03 12</c:v>
                </c:pt>
                <c:pt idx="61">
                  <c:v>2024-10-03 13</c:v>
                </c:pt>
                <c:pt idx="62">
                  <c:v>2024-10-03 14</c:v>
                </c:pt>
                <c:pt idx="63">
                  <c:v>2024-10-03 15</c:v>
                </c:pt>
                <c:pt idx="64">
                  <c:v>2024-10-03 16</c:v>
                </c:pt>
                <c:pt idx="65">
                  <c:v>2024-10-03 17</c:v>
                </c:pt>
                <c:pt idx="66">
                  <c:v>2024-10-03 18</c:v>
                </c:pt>
                <c:pt idx="67">
                  <c:v>2024-10-03 19</c:v>
                </c:pt>
                <c:pt idx="68">
                  <c:v>2024-10-03 20</c:v>
                </c:pt>
                <c:pt idx="69">
                  <c:v>2024-10-03 21</c:v>
                </c:pt>
                <c:pt idx="70">
                  <c:v>2024-10-03 22</c:v>
                </c:pt>
                <c:pt idx="71">
                  <c:v>2024-10-03 23</c:v>
                </c:pt>
                <c:pt idx="72">
                  <c:v>2024-10-04 00</c:v>
                </c:pt>
                <c:pt idx="73">
                  <c:v>2024-10-04 01</c:v>
                </c:pt>
                <c:pt idx="74">
                  <c:v>2024-10-04 02</c:v>
                </c:pt>
                <c:pt idx="75">
                  <c:v>2024-10-04 03</c:v>
                </c:pt>
                <c:pt idx="76">
                  <c:v>2024-10-04 04</c:v>
                </c:pt>
                <c:pt idx="77">
                  <c:v>2024-10-04 05</c:v>
                </c:pt>
                <c:pt idx="78">
                  <c:v>2024-10-04 06</c:v>
                </c:pt>
                <c:pt idx="79">
                  <c:v>2024-10-04 07</c:v>
                </c:pt>
                <c:pt idx="80">
                  <c:v>2024-10-04 08</c:v>
                </c:pt>
                <c:pt idx="81">
                  <c:v>2024-10-04 09</c:v>
                </c:pt>
                <c:pt idx="82">
                  <c:v>2024-10-04 10</c:v>
                </c:pt>
                <c:pt idx="83">
                  <c:v>2024-10-04 11</c:v>
                </c:pt>
                <c:pt idx="84">
                  <c:v>2024-10-04 12</c:v>
                </c:pt>
                <c:pt idx="85">
                  <c:v>2024-10-04 13</c:v>
                </c:pt>
                <c:pt idx="86">
                  <c:v>2024-10-04 14</c:v>
                </c:pt>
                <c:pt idx="87">
                  <c:v>2024-10-04 15</c:v>
                </c:pt>
                <c:pt idx="88">
                  <c:v>2024-10-04 16</c:v>
                </c:pt>
                <c:pt idx="89">
                  <c:v>2024-10-04 17</c:v>
                </c:pt>
                <c:pt idx="90">
                  <c:v>2024-10-04 18</c:v>
                </c:pt>
                <c:pt idx="91">
                  <c:v>2024-10-04 19</c:v>
                </c:pt>
                <c:pt idx="92">
                  <c:v>2024-10-04 20</c:v>
                </c:pt>
                <c:pt idx="93">
                  <c:v>2024-10-04 21</c:v>
                </c:pt>
                <c:pt idx="94">
                  <c:v>2024-10-04 22</c:v>
                </c:pt>
                <c:pt idx="95">
                  <c:v>2024-10-04 23</c:v>
                </c:pt>
                <c:pt idx="96">
                  <c:v>2024-10-07 00</c:v>
                </c:pt>
                <c:pt idx="97">
                  <c:v>2024-10-07 01</c:v>
                </c:pt>
                <c:pt idx="98">
                  <c:v>2024-10-07 02</c:v>
                </c:pt>
                <c:pt idx="99">
                  <c:v>2024-10-07 03</c:v>
                </c:pt>
                <c:pt idx="100">
                  <c:v>2024-10-07 04</c:v>
                </c:pt>
                <c:pt idx="101">
                  <c:v>2024-10-07 05</c:v>
                </c:pt>
                <c:pt idx="102">
                  <c:v>2024-10-07 06</c:v>
                </c:pt>
                <c:pt idx="103">
                  <c:v>2024-10-07 07</c:v>
                </c:pt>
                <c:pt idx="104">
                  <c:v>2024-10-07 08</c:v>
                </c:pt>
                <c:pt idx="105">
                  <c:v>2024-10-07 09</c:v>
                </c:pt>
                <c:pt idx="106">
                  <c:v>2024-10-07 10</c:v>
                </c:pt>
                <c:pt idx="107">
                  <c:v>2024-10-07 11</c:v>
                </c:pt>
                <c:pt idx="108">
                  <c:v>2024-10-07 12</c:v>
                </c:pt>
                <c:pt idx="109">
                  <c:v>2024-10-07 13</c:v>
                </c:pt>
                <c:pt idx="110">
                  <c:v>2024-10-07 14</c:v>
                </c:pt>
                <c:pt idx="111">
                  <c:v>2024-10-07 15</c:v>
                </c:pt>
                <c:pt idx="112">
                  <c:v>2024-10-07 16</c:v>
                </c:pt>
                <c:pt idx="113">
                  <c:v>2024-10-07 17</c:v>
                </c:pt>
                <c:pt idx="114">
                  <c:v>2024-10-07 18</c:v>
                </c:pt>
                <c:pt idx="115">
                  <c:v>2024-10-07 19</c:v>
                </c:pt>
                <c:pt idx="116">
                  <c:v>2024-10-07 20</c:v>
                </c:pt>
                <c:pt idx="117">
                  <c:v>2024-10-07 21</c:v>
                </c:pt>
                <c:pt idx="118">
                  <c:v>2024-10-07 22</c:v>
                </c:pt>
                <c:pt idx="119">
                  <c:v>2024-10-07 23</c:v>
                </c:pt>
                <c:pt idx="120">
                  <c:v>2024-10-08 00</c:v>
                </c:pt>
                <c:pt idx="121">
                  <c:v>2024-10-08 01</c:v>
                </c:pt>
                <c:pt idx="122">
                  <c:v>2024-10-08 02</c:v>
                </c:pt>
                <c:pt idx="123">
                  <c:v>2024-10-08 03</c:v>
                </c:pt>
                <c:pt idx="124">
                  <c:v>2024-10-08 04</c:v>
                </c:pt>
                <c:pt idx="125">
                  <c:v>2024-10-08 05</c:v>
                </c:pt>
                <c:pt idx="126">
                  <c:v>2024-10-08 06</c:v>
                </c:pt>
                <c:pt idx="127">
                  <c:v>2024-10-08 07</c:v>
                </c:pt>
                <c:pt idx="128">
                  <c:v>2024-10-08 08</c:v>
                </c:pt>
                <c:pt idx="129">
                  <c:v>2024-10-08 09</c:v>
                </c:pt>
                <c:pt idx="130">
                  <c:v>2024-10-08 10</c:v>
                </c:pt>
                <c:pt idx="131">
                  <c:v>2024-10-08 11</c:v>
                </c:pt>
                <c:pt idx="132">
                  <c:v>2024-10-08 12</c:v>
                </c:pt>
                <c:pt idx="133">
                  <c:v>2024-10-08 13</c:v>
                </c:pt>
                <c:pt idx="134">
                  <c:v>2024-10-08 14</c:v>
                </c:pt>
                <c:pt idx="135">
                  <c:v>2024-10-08 15</c:v>
                </c:pt>
                <c:pt idx="136">
                  <c:v>2024-10-08 16</c:v>
                </c:pt>
                <c:pt idx="137">
                  <c:v>2024-10-08 17</c:v>
                </c:pt>
                <c:pt idx="138">
                  <c:v>2024-10-08 18</c:v>
                </c:pt>
                <c:pt idx="139">
                  <c:v>2024-10-08 19</c:v>
                </c:pt>
                <c:pt idx="140">
                  <c:v>2024-10-08 20</c:v>
                </c:pt>
                <c:pt idx="141">
                  <c:v>2024-10-08 21</c:v>
                </c:pt>
                <c:pt idx="142">
                  <c:v>2024-10-08 22</c:v>
                </c:pt>
                <c:pt idx="143">
                  <c:v>2024-10-08 23</c:v>
                </c:pt>
                <c:pt idx="144">
                  <c:v>2024-10-09 00</c:v>
                </c:pt>
                <c:pt idx="145">
                  <c:v>2024-10-09 01</c:v>
                </c:pt>
                <c:pt idx="146">
                  <c:v>2024-10-09 02</c:v>
                </c:pt>
                <c:pt idx="147">
                  <c:v>2024-10-09 03</c:v>
                </c:pt>
                <c:pt idx="148">
                  <c:v>2024-10-09 04</c:v>
                </c:pt>
                <c:pt idx="149">
                  <c:v>2024-10-09 05</c:v>
                </c:pt>
                <c:pt idx="150">
                  <c:v>2024-10-09 06</c:v>
                </c:pt>
                <c:pt idx="151">
                  <c:v>2024-10-09 07</c:v>
                </c:pt>
                <c:pt idx="152">
                  <c:v>2024-10-09 08</c:v>
                </c:pt>
                <c:pt idx="153">
                  <c:v>2024-10-09 09</c:v>
                </c:pt>
                <c:pt idx="154">
                  <c:v>2024-10-09 10</c:v>
                </c:pt>
                <c:pt idx="155">
                  <c:v>2024-10-09 11</c:v>
                </c:pt>
                <c:pt idx="156">
                  <c:v>2024-10-09 12</c:v>
                </c:pt>
                <c:pt idx="157">
                  <c:v>2024-10-09 13</c:v>
                </c:pt>
                <c:pt idx="158">
                  <c:v>2024-10-09 14</c:v>
                </c:pt>
                <c:pt idx="159">
                  <c:v>2024-10-09 15</c:v>
                </c:pt>
                <c:pt idx="160">
                  <c:v>2024-10-09 16</c:v>
                </c:pt>
                <c:pt idx="161">
                  <c:v>2024-10-09 17</c:v>
                </c:pt>
                <c:pt idx="162">
                  <c:v>2024-10-09 18</c:v>
                </c:pt>
                <c:pt idx="163">
                  <c:v>2024-10-09 19</c:v>
                </c:pt>
                <c:pt idx="164">
                  <c:v>2024-10-09 20</c:v>
                </c:pt>
                <c:pt idx="165">
                  <c:v>2024-10-09 21</c:v>
                </c:pt>
                <c:pt idx="166">
                  <c:v>2024-10-09 22</c:v>
                </c:pt>
                <c:pt idx="167">
                  <c:v>2024-10-09 23</c:v>
                </c:pt>
                <c:pt idx="168">
                  <c:v>2024-10-10 00</c:v>
                </c:pt>
                <c:pt idx="169">
                  <c:v>2024-10-10 01</c:v>
                </c:pt>
                <c:pt idx="170">
                  <c:v>2024-10-10 02</c:v>
                </c:pt>
                <c:pt idx="171">
                  <c:v>2024-10-10 03</c:v>
                </c:pt>
                <c:pt idx="172">
                  <c:v>2024-10-10 04</c:v>
                </c:pt>
                <c:pt idx="173">
                  <c:v>2024-10-10 05</c:v>
                </c:pt>
                <c:pt idx="174">
                  <c:v>2024-10-10 06</c:v>
                </c:pt>
                <c:pt idx="175">
                  <c:v>2024-10-10 07</c:v>
                </c:pt>
                <c:pt idx="176">
                  <c:v>2024-10-10 08</c:v>
                </c:pt>
                <c:pt idx="177">
                  <c:v>2024-10-10 09</c:v>
                </c:pt>
                <c:pt idx="178">
                  <c:v>2024-10-10 10</c:v>
                </c:pt>
                <c:pt idx="179">
                  <c:v>2024-10-10 11</c:v>
                </c:pt>
                <c:pt idx="180">
                  <c:v>2024-10-10 12</c:v>
                </c:pt>
                <c:pt idx="181">
                  <c:v>2024-10-10 13</c:v>
                </c:pt>
                <c:pt idx="182">
                  <c:v>2024-10-10 14</c:v>
                </c:pt>
                <c:pt idx="183">
                  <c:v>2024-10-10 15</c:v>
                </c:pt>
                <c:pt idx="184">
                  <c:v>2024-10-10 16</c:v>
                </c:pt>
                <c:pt idx="185">
                  <c:v>2024-10-10 17</c:v>
                </c:pt>
                <c:pt idx="186">
                  <c:v>2024-10-10 18</c:v>
                </c:pt>
                <c:pt idx="187">
                  <c:v>2024-10-10 19</c:v>
                </c:pt>
                <c:pt idx="188">
                  <c:v>2024-10-10 20</c:v>
                </c:pt>
                <c:pt idx="189">
                  <c:v>2024-10-10 21</c:v>
                </c:pt>
                <c:pt idx="190">
                  <c:v>2024-10-10 22</c:v>
                </c:pt>
                <c:pt idx="191">
                  <c:v>2024-10-10 23</c:v>
                </c:pt>
                <c:pt idx="192">
                  <c:v>2024-10-11 00</c:v>
                </c:pt>
                <c:pt idx="193">
                  <c:v>2024-10-11 01</c:v>
                </c:pt>
                <c:pt idx="194">
                  <c:v>2024-10-11 02</c:v>
                </c:pt>
                <c:pt idx="195">
                  <c:v>2024-10-11 03</c:v>
                </c:pt>
                <c:pt idx="196">
                  <c:v>2024-10-11 04</c:v>
                </c:pt>
                <c:pt idx="197">
                  <c:v>2024-10-11 05</c:v>
                </c:pt>
                <c:pt idx="198">
                  <c:v>2024-10-11 06</c:v>
                </c:pt>
                <c:pt idx="199">
                  <c:v>2024-10-11 07</c:v>
                </c:pt>
                <c:pt idx="200">
                  <c:v>2024-10-11 08</c:v>
                </c:pt>
                <c:pt idx="201">
                  <c:v>2024-10-11 09</c:v>
                </c:pt>
                <c:pt idx="202">
                  <c:v>2024-10-11 10</c:v>
                </c:pt>
                <c:pt idx="203">
                  <c:v>2024-10-11 11</c:v>
                </c:pt>
                <c:pt idx="204">
                  <c:v>2024-10-11 12</c:v>
                </c:pt>
                <c:pt idx="205">
                  <c:v>2024-10-11 13</c:v>
                </c:pt>
                <c:pt idx="206">
                  <c:v>2024-10-11 14</c:v>
                </c:pt>
                <c:pt idx="207">
                  <c:v>2024-10-11 15</c:v>
                </c:pt>
                <c:pt idx="208">
                  <c:v>2024-10-11 16</c:v>
                </c:pt>
                <c:pt idx="209">
                  <c:v>2024-10-11 17</c:v>
                </c:pt>
                <c:pt idx="210">
                  <c:v>2024-10-11 18</c:v>
                </c:pt>
                <c:pt idx="211">
                  <c:v>2024-10-11 19</c:v>
                </c:pt>
                <c:pt idx="212">
                  <c:v>2024-10-11 20</c:v>
                </c:pt>
                <c:pt idx="213">
                  <c:v>2024-10-11 21</c:v>
                </c:pt>
                <c:pt idx="214">
                  <c:v>2024-10-11 22</c:v>
                </c:pt>
                <c:pt idx="215">
                  <c:v>2024-10-11 23</c:v>
                </c:pt>
                <c:pt idx="216">
                  <c:v>2024-10-14 00</c:v>
                </c:pt>
                <c:pt idx="217">
                  <c:v>2024-10-14 01</c:v>
                </c:pt>
                <c:pt idx="218">
                  <c:v>2024-10-14 02</c:v>
                </c:pt>
                <c:pt idx="219">
                  <c:v>2024-10-14 03</c:v>
                </c:pt>
                <c:pt idx="220">
                  <c:v>2024-10-14 04</c:v>
                </c:pt>
                <c:pt idx="221">
                  <c:v>2024-10-14 05</c:v>
                </c:pt>
                <c:pt idx="222">
                  <c:v>2024-10-14 06</c:v>
                </c:pt>
                <c:pt idx="223">
                  <c:v>2024-10-14 07</c:v>
                </c:pt>
                <c:pt idx="224">
                  <c:v>2024-10-14 08</c:v>
                </c:pt>
                <c:pt idx="225">
                  <c:v>2024-10-14 09</c:v>
                </c:pt>
                <c:pt idx="226">
                  <c:v>2024-10-14 10</c:v>
                </c:pt>
                <c:pt idx="227">
                  <c:v>2024-10-14 11</c:v>
                </c:pt>
                <c:pt idx="228">
                  <c:v>2024-10-14 12</c:v>
                </c:pt>
                <c:pt idx="229">
                  <c:v>2024-10-14 13</c:v>
                </c:pt>
                <c:pt idx="230">
                  <c:v>2024-10-14 14</c:v>
                </c:pt>
                <c:pt idx="231">
                  <c:v>2024-10-14 15</c:v>
                </c:pt>
                <c:pt idx="232">
                  <c:v>2024-10-14 16</c:v>
                </c:pt>
                <c:pt idx="233">
                  <c:v>2024-10-14 17</c:v>
                </c:pt>
                <c:pt idx="234">
                  <c:v>2024-10-14 18</c:v>
                </c:pt>
                <c:pt idx="235">
                  <c:v>2024-10-14 19</c:v>
                </c:pt>
                <c:pt idx="236">
                  <c:v>2024-10-14 20</c:v>
                </c:pt>
                <c:pt idx="237">
                  <c:v>2024-10-14 21</c:v>
                </c:pt>
                <c:pt idx="238">
                  <c:v>2024-10-14 22</c:v>
                </c:pt>
                <c:pt idx="239">
                  <c:v>2024-10-14 23</c:v>
                </c:pt>
                <c:pt idx="240">
                  <c:v>2024-10-15 00</c:v>
                </c:pt>
                <c:pt idx="241">
                  <c:v>2024-10-15 01</c:v>
                </c:pt>
                <c:pt idx="242">
                  <c:v>2024-10-15 02</c:v>
                </c:pt>
                <c:pt idx="243">
                  <c:v>2024-10-15 03</c:v>
                </c:pt>
                <c:pt idx="244">
                  <c:v>2024-10-15 04</c:v>
                </c:pt>
                <c:pt idx="245">
                  <c:v>2024-10-15 05</c:v>
                </c:pt>
                <c:pt idx="246">
                  <c:v>2024-10-15 06</c:v>
                </c:pt>
                <c:pt idx="247">
                  <c:v>2024-10-15 07</c:v>
                </c:pt>
                <c:pt idx="248">
                  <c:v>2024-10-15 08</c:v>
                </c:pt>
                <c:pt idx="249">
                  <c:v>2024-10-15 09</c:v>
                </c:pt>
                <c:pt idx="250">
                  <c:v>2024-10-15 10</c:v>
                </c:pt>
                <c:pt idx="251">
                  <c:v>2024-10-15 11</c:v>
                </c:pt>
                <c:pt idx="252">
                  <c:v>2024-10-15 12</c:v>
                </c:pt>
                <c:pt idx="253">
                  <c:v>2024-10-15 13</c:v>
                </c:pt>
                <c:pt idx="254">
                  <c:v>2024-10-15 14</c:v>
                </c:pt>
                <c:pt idx="255">
                  <c:v>2024-10-15 15</c:v>
                </c:pt>
                <c:pt idx="256">
                  <c:v>2024-10-15 16</c:v>
                </c:pt>
                <c:pt idx="257">
                  <c:v>2024-10-15 17</c:v>
                </c:pt>
                <c:pt idx="258">
                  <c:v>2024-10-15 18</c:v>
                </c:pt>
                <c:pt idx="259">
                  <c:v>2024-10-15 19</c:v>
                </c:pt>
                <c:pt idx="260">
                  <c:v>2024-10-15 20</c:v>
                </c:pt>
                <c:pt idx="261">
                  <c:v>2024-10-15 21</c:v>
                </c:pt>
                <c:pt idx="262">
                  <c:v>2024-10-15 22</c:v>
                </c:pt>
                <c:pt idx="263">
                  <c:v>2024-10-15 23</c:v>
                </c:pt>
                <c:pt idx="264">
                  <c:v>2024-10-16 00</c:v>
                </c:pt>
                <c:pt idx="265">
                  <c:v>2024-10-16 01</c:v>
                </c:pt>
                <c:pt idx="266">
                  <c:v>2024-10-16 02</c:v>
                </c:pt>
                <c:pt idx="267">
                  <c:v>2024-10-16 03</c:v>
                </c:pt>
                <c:pt idx="268">
                  <c:v>2024-10-16 04</c:v>
                </c:pt>
                <c:pt idx="269">
                  <c:v>2024-10-16 05</c:v>
                </c:pt>
                <c:pt idx="270">
                  <c:v>2024-10-16 06</c:v>
                </c:pt>
                <c:pt idx="271">
                  <c:v>2024-10-16 07</c:v>
                </c:pt>
                <c:pt idx="272">
                  <c:v>2024-10-16 08</c:v>
                </c:pt>
                <c:pt idx="273">
                  <c:v>2024-10-16 09</c:v>
                </c:pt>
                <c:pt idx="274">
                  <c:v>2024-10-16 10</c:v>
                </c:pt>
                <c:pt idx="275">
                  <c:v>2024-10-16 11</c:v>
                </c:pt>
                <c:pt idx="276">
                  <c:v>2024-10-16 12</c:v>
                </c:pt>
                <c:pt idx="277">
                  <c:v>2024-10-16 13</c:v>
                </c:pt>
                <c:pt idx="278">
                  <c:v>2024-10-16 14</c:v>
                </c:pt>
                <c:pt idx="279">
                  <c:v>2024-10-16 15</c:v>
                </c:pt>
                <c:pt idx="280">
                  <c:v>2024-10-16 16</c:v>
                </c:pt>
                <c:pt idx="281">
                  <c:v>2024-10-16 17</c:v>
                </c:pt>
                <c:pt idx="282">
                  <c:v>2024-10-16 18</c:v>
                </c:pt>
                <c:pt idx="283">
                  <c:v>2024-10-16 19</c:v>
                </c:pt>
                <c:pt idx="284">
                  <c:v>2024-10-16 20</c:v>
                </c:pt>
                <c:pt idx="285">
                  <c:v>2024-10-16 21</c:v>
                </c:pt>
                <c:pt idx="286">
                  <c:v>2024-10-16 22</c:v>
                </c:pt>
                <c:pt idx="287">
                  <c:v>2024-10-16 23</c:v>
                </c:pt>
                <c:pt idx="288">
                  <c:v>2024-10-17 00</c:v>
                </c:pt>
                <c:pt idx="289">
                  <c:v>2024-10-17 01</c:v>
                </c:pt>
                <c:pt idx="290">
                  <c:v>2024-10-17 02</c:v>
                </c:pt>
                <c:pt idx="291">
                  <c:v>2024-10-17 03</c:v>
                </c:pt>
                <c:pt idx="292">
                  <c:v>2024-10-17 04</c:v>
                </c:pt>
                <c:pt idx="293">
                  <c:v>2024-10-17 05</c:v>
                </c:pt>
                <c:pt idx="294">
                  <c:v>2024-10-17 06</c:v>
                </c:pt>
                <c:pt idx="295">
                  <c:v>2024-10-17 07</c:v>
                </c:pt>
                <c:pt idx="296">
                  <c:v>2024-10-17 08</c:v>
                </c:pt>
                <c:pt idx="297">
                  <c:v>2024-10-17 09</c:v>
                </c:pt>
                <c:pt idx="298">
                  <c:v>2024-10-17 10</c:v>
                </c:pt>
                <c:pt idx="299">
                  <c:v>2024-10-17 11</c:v>
                </c:pt>
                <c:pt idx="300">
                  <c:v>2024-10-17 12</c:v>
                </c:pt>
                <c:pt idx="301">
                  <c:v>2024-10-17 13</c:v>
                </c:pt>
                <c:pt idx="302">
                  <c:v>2024-10-17 14</c:v>
                </c:pt>
                <c:pt idx="303">
                  <c:v>2024-10-17 15</c:v>
                </c:pt>
                <c:pt idx="304">
                  <c:v>2024-10-17 16</c:v>
                </c:pt>
                <c:pt idx="305">
                  <c:v>2024-10-17 17</c:v>
                </c:pt>
                <c:pt idx="306">
                  <c:v>2024-10-17 18</c:v>
                </c:pt>
                <c:pt idx="307">
                  <c:v>2024-10-17 19</c:v>
                </c:pt>
                <c:pt idx="308">
                  <c:v>2024-10-17 20</c:v>
                </c:pt>
                <c:pt idx="309">
                  <c:v>2024-10-17 21</c:v>
                </c:pt>
                <c:pt idx="310">
                  <c:v>2024-10-17 22</c:v>
                </c:pt>
                <c:pt idx="311">
                  <c:v>2024-10-17 23</c:v>
                </c:pt>
                <c:pt idx="312">
                  <c:v>2024-10-18 00</c:v>
                </c:pt>
                <c:pt idx="313">
                  <c:v>2024-10-18 01</c:v>
                </c:pt>
                <c:pt idx="314">
                  <c:v>2024-10-18 02</c:v>
                </c:pt>
                <c:pt idx="315">
                  <c:v>2024-10-18 03</c:v>
                </c:pt>
                <c:pt idx="316">
                  <c:v>2024-10-18 04</c:v>
                </c:pt>
                <c:pt idx="317">
                  <c:v>2024-10-18 05</c:v>
                </c:pt>
                <c:pt idx="318">
                  <c:v>2024-10-18 06</c:v>
                </c:pt>
                <c:pt idx="319">
                  <c:v>2024-10-18 07</c:v>
                </c:pt>
                <c:pt idx="320">
                  <c:v>2024-10-18 08</c:v>
                </c:pt>
                <c:pt idx="321">
                  <c:v>2024-10-18 09</c:v>
                </c:pt>
                <c:pt idx="322">
                  <c:v>2024-10-18 10</c:v>
                </c:pt>
                <c:pt idx="323">
                  <c:v>2024-10-18 11</c:v>
                </c:pt>
                <c:pt idx="324">
                  <c:v>2024-10-18 12</c:v>
                </c:pt>
                <c:pt idx="325">
                  <c:v>2024-10-18 13</c:v>
                </c:pt>
                <c:pt idx="326">
                  <c:v>2024-10-18 14</c:v>
                </c:pt>
                <c:pt idx="327">
                  <c:v>2024-10-18 15</c:v>
                </c:pt>
                <c:pt idx="328">
                  <c:v>2024-10-18 16</c:v>
                </c:pt>
                <c:pt idx="329">
                  <c:v>2024-10-18 17</c:v>
                </c:pt>
                <c:pt idx="330">
                  <c:v>2024-10-18 18</c:v>
                </c:pt>
                <c:pt idx="331">
                  <c:v>2024-10-18 19</c:v>
                </c:pt>
                <c:pt idx="332">
                  <c:v>2024-10-18 20</c:v>
                </c:pt>
                <c:pt idx="333">
                  <c:v>2024-10-18 21</c:v>
                </c:pt>
                <c:pt idx="334">
                  <c:v>2024-10-18 22</c:v>
                </c:pt>
                <c:pt idx="335">
                  <c:v>2024-10-18 23</c:v>
                </c:pt>
                <c:pt idx="336">
                  <c:v>2024-10-21 00</c:v>
                </c:pt>
                <c:pt idx="337">
                  <c:v>2024-10-21 01</c:v>
                </c:pt>
                <c:pt idx="338">
                  <c:v>2024-10-21 02</c:v>
                </c:pt>
                <c:pt idx="339">
                  <c:v>2024-10-21 03</c:v>
                </c:pt>
                <c:pt idx="340">
                  <c:v>2024-10-21 04</c:v>
                </c:pt>
                <c:pt idx="341">
                  <c:v>2024-10-21 05</c:v>
                </c:pt>
                <c:pt idx="342">
                  <c:v>2024-10-21 06</c:v>
                </c:pt>
                <c:pt idx="343">
                  <c:v>2024-10-21 07</c:v>
                </c:pt>
                <c:pt idx="344">
                  <c:v>2024-10-21 08</c:v>
                </c:pt>
                <c:pt idx="345">
                  <c:v>2024-10-21 09</c:v>
                </c:pt>
                <c:pt idx="346">
                  <c:v>2024-10-21 10</c:v>
                </c:pt>
                <c:pt idx="347">
                  <c:v>2024-10-21 11</c:v>
                </c:pt>
                <c:pt idx="348">
                  <c:v>2024-10-21 12</c:v>
                </c:pt>
                <c:pt idx="349">
                  <c:v>2024-10-21 13</c:v>
                </c:pt>
                <c:pt idx="350">
                  <c:v>2024-10-21 14</c:v>
                </c:pt>
                <c:pt idx="351">
                  <c:v>2024-10-21 15</c:v>
                </c:pt>
                <c:pt idx="352">
                  <c:v>2024-10-21 16</c:v>
                </c:pt>
                <c:pt idx="353">
                  <c:v>2024-10-21 17</c:v>
                </c:pt>
                <c:pt idx="354">
                  <c:v>2024-10-21 18</c:v>
                </c:pt>
                <c:pt idx="355">
                  <c:v>2024-10-21 19</c:v>
                </c:pt>
                <c:pt idx="356">
                  <c:v>2024-10-21 20</c:v>
                </c:pt>
                <c:pt idx="357">
                  <c:v>2024-10-21 21</c:v>
                </c:pt>
                <c:pt idx="358">
                  <c:v>2024-10-21 22</c:v>
                </c:pt>
                <c:pt idx="359">
                  <c:v>2024-10-21 23</c:v>
                </c:pt>
                <c:pt idx="360">
                  <c:v>2024-10-22 00</c:v>
                </c:pt>
                <c:pt idx="361">
                  <c:v>2024-10-22 01</c:v>
                </c:pt>
                <c:pt idx="362">
                  <c:v>2024-10-22 02</c:v>
                </c:pt>
                <c:pt idx="363">
                  <c:v>2024-10-22 03</c:v>
                </c:pt>
                <c:pt idx="364">
                  <c:v>2024-10-22 04</c:v>
                </c:pt>
                <c:pt idx="365">
                  <c:v>2024-10-22 05</c:v>
                </c:pt>
                <c:pt idx="366">
                  <c:v>2024-10-22 06</c:v>
                </c:pt>
                <c:pt idx="367">
                  <c:v>2024-10-22 07</c:v>
                </c:pt>
                <c:pt idx="368">
                  <c:v>2024-10-22 08</c:v>
                </c:pt>
                <c:pt idx="369">
                  <c:v>2024-10-22 09</c:v>
                </c:pt>
                <c:pt idx="370">
                  <c:v>2024-10-22 10</c:v>
                </c:pt>
                <c:pt idx="371">
                  <c:v>2024-10-22 11</c:v>
                </c:pt>
                <c:pt idx="372">
                  <c:v>2024-10-22 12</c:v>
                </c:pt>
                <c:pt idx="373">
                  <c:v>2024-10-22 13</c:v>
                </c:pt>
                <c:pt idx="374">
                  <c:v>2024-10-22 14</c:v>
                </c:pt>
                <c:pt idx="375">
                  <c:v>2024-10-22 15</c:v>
                </c:pt>
                <c:pt idx="376">
                  <c:v>2024-10-22 16</c:v>
                </c:pt>
                <c:pt idx="377">
                  <c:v>2024-10-22 17</c:v>
                </c:pt>
                <c:pt idx="378">
                  <c:v>2024-10-22 18</c:v>
                </c:pt>
                <c:pt idx="379">
                  <c:v>2024-10-22 19</c:v>
                </c:pt>
                <c:pt idx="380">
                  <c:v>2024-10-22 20</c:v>
                </c:pt>
                <c:pt idx="381">
                  <c:v>2024-10-22 21</c:v>
                </c:pt>
                <c:pt idx="382">
                  <c:v>2024-10-22 22</c:v>
                </c:pt>
                <c:pt idx="383">
                  <c:v>2024-10-22 23</c:v>
                </c:pt>
                <c:pt idx="384">
                  <c:v>2024-10-23 00</c:v>
                </c:pt>
                <c:pt idx="385">
                  <c:v>2024-10-23 01</c:v>
                </c:pt>
                <c:pt idx="386">
                  <c:v>2024-10-23 02</c:v>
                </c:pt>
                <c:pt idx="387">
                  <c:v>2024-10-23 03</c:v>
                </c:pt>
                <c:pt idx="388">
                  <c:v>2024-10-23 04</c:v>
                </c:pt>
                <c:pt idx="389">
                  <c:v>2024-10-23 05</c:v>
                </c:pt>
                <c:pt idx="390">
                  <c:v>2024-10-23 06</c:v>
                </c:pt>
                <c:pt idx="391">
                  <c:v>2024-10-23 07</c:v>
                </c:pt>
                <c:pt idx="392">
                  <c:v>2024-10-23 08</c:v>
                </c:pt>
                <c:pt idx="393">
                  <c:v>2024-10-23 09</c:v>
                </c:pt>
                <c:pt idx="394">
                  <c:v>2024-10-23 10</c:v>
                </c:pt>
                <c:pt idx="395">
                  <c:v>2024-10-23 11</c:v>
                </c:pt>
                <c:pt idx="396">
                  <c:v>2024-10-23 12</c:v>
                </c:pt>
                <c:pt idx="397">
                  <c:v>2024-10-23 13</c:v>
                </c:pt>
                <c:pt idx="398">
                  <c:v>2024-10-23 14</c:v>
                </c:pt>
                <c:pt idx="399">
                  <c:v>2024-10-23 15</c:v>
                </c:pt>
                <c:pt idx="400">
                  <c:v>2024-10-23 16</c:v>
                </c:pt>
                <c:pt idx="401">
                  <c:v>2024-10-23 17</c:v>
                </c:pt>
                <c:pt idx="402">
                  <c:v>2024-10-23 18</c:v>
                </c:pt>
                <c:pt idx="403">
                  <c:v>2024-10-23 19</c:v>
                </c:pt>
                <c:pt idx="404">
                  <c:v>2024-10-23 20</c:v>
                </c:pt>
                <c:pt idx="405">
                  <c:v>2024-10-23 21</c:v>
                </c:pt>
                <c:pt idx="406">
                  <c:v>2024-10-23 22</c:v>
                </c:pt>
                <c:pt idx="407">
                  <c:v>2024-10-23 23</c:v>
                </c:pt>
                <c:pt idx="408">
                  <c:v>2024-10-24 00</c:v>
                </c:pt>
                <c:pt idx="409">
                  <c:v>2024-10-24 01</c:v>
                </c:pt>
                <c:pt idx="410">
                  <c:v>2024-10-24 02</c:v>
                </c:pt>
                <c:pt idx="411">
                  <c:v>2024-10-24 03</c:v>
                </c:pt>
                <c:pt idx="412">
                  <c:v>2024-10-24 04</c:v>
                </c:pt>
                <c:pt idx="413">
                  <c:v>2024-10-24 05</c:v>
                </c:pt>
                <c:pt idx="414">
                  <c:v>2024-10-24 06</c:v>
                </c:pt>
                <c:pt idx="415">
                  <c:v>2024-10-24 07</c:v>
                </c:pt>
                <c:pt idx="416">
                  <c:v>2024-10-24 08</c:v>
                </c:pt>
                <c:pt idx="417">
                  <c:v>2024-10-24 09</c:v>
                </c:pt>
                <c:pt idx="418">
                  <c:v>2024-10-24 10</c:v>
                </c:pt>
                <c:pt idx="419">
                  <c:v>2024-10-24 11</c:v>
                </c:pt>
                <c:pt idx="420">
                  <c:v>2024-10-24 12</c:v>
                </c:pt>
                <c:pt idx="421">
                  <c:v>2024-10-24 13</c:v>
                </c:pt>
                <c:pt idx="422">
                  <c:v>2024-10-24 14</c:v>
                </c:pt>
                <c:pt idx="423">
                  <c:v>2024-10-24 15</c:v>
                </c:pt>
                <c:pt idx="424">
                  <c:v>2024-10-24 16</c:v>
                </c:pt>
                <c:pt idx="425">
                  <c:v>2024-10-24 17</c:v>
                </c:pt>
                <c:pt idx="426">
                  <c:v>2024-10-24 18</c:v>
                </c:pt>
                <c:pt idx="427">
                  <c:v>2024-10-24 19</c:v>
                </c:pt>
                <c:pt idx="428">
                  <c:v>2024-10-24 20</c:v>
                </c:pt>
                <c:pt idx="429">
                  <c:v>2024-10-24 21</c:v>
                </c:pt>
                <c:pt idx="430">
                  <c:v>2024-10-24 22</c:v>
                </c:pt>
                <c:pt idx="431">
                  <c:v>2024-10-24 23</c:v>
                </c:pt>
                <c:pt idx="432">
                  <c:v>2024-10-25 00</c:v>
                </c:pt>
                <c:pt idx="433">
                  <c:v>2024-10-25 01</c:v>
                </c:pt>
                <c:pt idx="434">
                  <c:v>2024-10-25 02</c:v>
                </c:pt>
                <c:pt idx="435">
                  <c:v>2024-10-25 03</c:v>
                </c:pt>
                <c:pt idx="436">
                  <c:v>2024-10-25 04</c:v>
                </c:pt>
                <c:pt idx="437">
                  <c:v>2024-10-25 05</c:v>
                </c:pt>
                <c:pt idx="438">
                  <c:v>2024-10-25 06</c:v>
                </c:pt>
                <c:pt idx="439">
                  <c:v>2024-10-25 07</c:v>
                </c:pt>
                <c:pt idx="440">
                  <c:v>2024-10-25 08</c:v>
                </c:pt>
                <c:pt idx="441">
                  <c:v>2024-10-25 09</c:v>
                </c:pt>
                <c:pt idx="442">
                  <c:v>2024-10-25 10</c:v>
                </c:pt>
                <c:pt idx="443">
                  <c:v>2024-10-25 11</c:v>
                </c:pt>
                <c:pt idx="444">
                  <c:v>2024-10-25 12</c:v>
                </c:pt>
                <c:pt idx="445">
                  <c:v>2024-10-25 13</c:v>
                </c:pt>
                <c:pt idx="446">
                  <c:v>2024-10-25 14</c:v>
                </c:pt>
                <c:pt idx="447">
                  <c:v>2024-10-25 15</c:v>
                </c:pt>
                <c:pt idx="448">
                  <c:v>2024-10-25 16</c:v>
                </c:pt>
                <c:pt idx="449">
                  <c:v>2024-10-25 17</c:v>
                </c:pt>
                <c:pt idx="450">
                  <c:v>2024-10-25 18</c:v>
                </c:pt>
                <c:pt idx="451">
                  <c:v>2024-10-25 19</c:v>
                </c:pt>
                <c:pt idx="452">
                  <c:v>2024-10-25 20</c:v>
                </c:pt>
                <c:pt idx="453">
                  <c:v>2024-10-25 21</c:v>
                </c:pt>
                <c:pt idx="454">
                  <c:v>2024-10-25 22</c:v>
                </c:pt>
                <c:pt idx="455">
                  <c:v>2024-10-25 23</c:v>
                </c:pt>
                <c:pt idx="456">
                  <c:v>2024-10-28 00</c:v>
                </c:pt>
                <c:pt idx="457">
                  <c:v>2024-10-28 01</c:v>
                </c:pt>
                <c:pt idx="458">
                  <c:v>2024-10-28 02</c:v>
                </c:pt>
                <c:pt idx="459">
                  <c:v>2024-10-28 03</c:v>
                </c:pt>
                <c:pt idx="460">
                  <c:v>2024-10-28 04</c:v>
                </c:pt>
                <c:pt idx="461">
                  <c:v>2024-10-28 05</c:v>
                </c:pt>
                <c:pt idx="462">
                  <c:v>2024-10-28 06</c:v>
                </c:pt>
                <c:pt idx="463">
                  <c:v>2024-10-28 07</c:v>
                </c:pt>
                <c:pt idx="464">
                  <c:v>2024-10-28 08</c:v>
                </c:pt>
                <c:pt idx="465">
                  <c:v>2024-10-28 09</c:v>
                </c:pt>
                <c:pt idx="466">
                  <c:v>2024-10-28 10</c:v>
                </c:pt>
                <c:pt idx="467">
                  <c:v>2024-10-28 11</c:v>
                </c:pt>
                <c:pt idx="468">
                  <c:v>2024-10-28 12</c:v>
                </c:pt>
                <c:pt idx="469">
                  <c:v>2024-10-28 13</c:v>
                </c:pt>
                <c:pt idx="470">
                  <c:v>2024-10-28 14</c:v>
                </c:pt>
                <c:pt idx="471">
                  <c:v>2024-10-28 15</c:v>
                </c:pt>
                <c:pt idx="472">
                  <c:v>2024-10-28 16</c:v>
                </c:pt>
                <c:pt idx="473">
                  <c:v>2024-10-28 17</c:v>
                </c:pt>
                <c:pt idx="474">
                  <c:v>2024-10-28 18</c:v>
                </c:pt>
                <c:pt idx="475">
                  <c:v>2024-10-28 19</c:v>
                </c:pt>
                <c:pt idx="476">
                  <c:v>2024-10-28 20</c:v>
                </c:pt>
                <c:pt idx="477">
                  <c:v>2024-10-28 21</c:v>
                </c:pt>
                <c:pt idx="478">
                  <c:v>2024-10-28 22</c:v>
                </c:pt>
                <c:pt idx="479">
                  <c:v>2024-10-28 23</c:v>
                </c:pt>
                <c:pt idx="480">
                  <c:v>2024-10-29 00</c:v>
                </c:pt>
                <c:pt idx="481">
                  <c:v>2024-10-29 01</c:v>
                </c:pt>
                <c:pt idx="482">
                  <c:v>2024-10-29 02</c:v>
                </c:pt>
                <c:pt idx="483">
                  <c:v>2024-10-29 03</c:v>
                </c:pt>
                <c:pt idx="484">
                  <c:v>2024-10-29 04</c:v>
                </c:pt>
                <c:pt idx="485">
                  <c:v>2024-10-29 05</c:v>
                </c:pt>
                <c:pt idx="486">
                  <c:v>2024-10-29 06</c:v>
                </c:pt>
                <c:pt idx="487">
                  <c:v>2024-10-29 07</c:v>
                </c:pt>
                <c:pt idx="488">
                  <c:v>2024-10-29 08</c:v>
                </c:pt>
                <c:pt idx="489">
                  <c:v>2024-10-29 09</c:v>
                </c:pt>
                <c:pt idx="490">
                  <c:v>2024-10-29 10</c:v>
                </c:pt>
                <c:pt idx="491">
                  <c:v>2024-10-29 11</c:v>
                </c:pt>
                <c:pt idx="492">
                  <c:v>2024-10-29 12</c:v>
                </c:pt>
                <c:pt idx="493">
                  <c:v>2024-10-29 13</c:v>
                </c:pt>
                <c:pt idx="494">
                  <c:v>2024-10-29 14</c:v>
                </c:pt>
                <c:pt idx="495">
                  <c:v>2024-10-29 15</c:v>
                </c:pt>
                <c:pt idx="496">
                  <c:v>2024-10-29 16</c:v>
                </c:pt>
                <c:pt idx="497">
                  <c:v>2024-10-29 17</c:v>
                </c:pt>
                <c:pt idx="498">
                  <c:v>2024-10-29 18</c:v>
                </c:pt>
                <c:pt idx="499">
                  <c:v>2024-10-29 19</c:v>
                </c:pt>
                <c:pt idx="500">
                  <c:v>2024-10-29 20</c:v>
                </c:pt>
                <c:pt idx="501">
                  <c:v>2024-10-29 21</c:v>
                </c:pt>
                <c:pt idx="502">
                  <c:v>2024-10-29 22</c:v>
                </c:pt>
                <c:pt idx="503">
                  <c:v>2024-10-29 23</c:v>
                </c:pt>
                <c:pt idx="504">
                  <c:v>2024-10-30 00</c:v>
                </c:pt>
                <c:pt idx="505">
                  <c:v>2024-10-30 01</c:v>
                </c:pt>
                <c:pt idx="506">
                  <c:v>2024-10-30 02</c:v>
                </c:pt>
                <c:pt idx="507">
                  <c:v>2024-10-30 03</c:v>
                </c:pt>
                <c:pt idx="508">
                  <c:v>2024-10-30 04</c:v>
                </c:pt>
                <c:pt idx="509">
                  <c:v>2024-10-30 05</c:v>
                </c:pt>
                <c:pt idx="510">
                  <c:v>2024-10-30 06</c:v>
                </c:pt>
                <c:pt idx="511">
                  <c:v>2024-10-30 07</c:v>
                </c:pt>
                <c:pt idx="512">
                  <c:v>2024-10-30 08</c:v>
                </c:pt>
                <c:pt idx="513">
                  <c:v>2024-10-30 09</c:v>
                </c:pt>
                <c:pt idx="514">
                  <c:v>2024-10-30 10</c:v>
                </c:pt>
                <c:pt idx="515">
                  <c:v>2024-10-30 11</c:v>
                </c:pt>
                <c:pt idx="516">
                  <c:v>2024-10-30 12</c:v>
                </c:pt>
                <c:pt idx="517">
                  <c:v>2024-10-30 13</c:v>
                </c:pt>
                <c:pt idx="518">
                  <c:v>2024-10-30 14</c:v>
                </c:pt>
                <c:pt idx="519">
                  <c:v>2024-10-30 15</c:v>
                </c:pt>
                <c:pt idx="520">
                  <c:v>2024-10-30 16</c:v>
                </c:pt>
                <c:pt idx="521">
                  <c:v>2024-10-30 17</c:v>
                </c:pt>
                <c:pt idx="522">
                  <c:v>2024-10-30 18</c:v>
                </c:pt>
                <c:pt idx="523">
                  <c:v>2024-10-30 19</c:v>
                </c:pt>
                <c:pt idx="524">
                  <c:v>2024-10-30 20</c:v>
                </c:pt>
                <c:pt idx="525">
                  <c:v>2024-10-30 21</c:v>
                </c:pt>
                <c:pt idx="526">
                  <c:v>2024-10-30 22</c:v>
                </c:pt>
                <c:pt idx="527">
                  <c:v>2024-10-30 23</c:v>
                </c:pt>
                <c:pt idx="528">
                  <c:v>2024-10-31 00</c:v>
                </c:pt>
                <c:pt idx="529">
                  <c:v>2024-10-31 01</c:v>
                </c:pt>
                <c:pt idx="530">
                  <c:v>2024-10-31 02</c:v>
                </c:pt>
                <c:pt idx="531">
                  <c:v>2024-10-31 03</c:v>
                </c:pt>
                <c:pt idx="532">
                  <c:v>2024-10-31 04</c:v>
                </c:pt>
                <c:pt idx="533">
                  <c:v>2024-10-31 05</c:v>
                </c:pt>
                <c:pt idx="534">
                  <c:v>2024-10-31 06</c:v>
                </c:pt>
                <c:pt idx="535">
                  <c:v>2024-10-31 07</c:v>
                </c:pt>
                <c:pt idx="536">
                  <c:v>2024-10-31 08</c:v>
                </c:pt>
                <c:pt idx="537">
                  <c:v>2024-10-31 09</c:v>
                </c:pt>
                <c:pt idx="538">
                  <c:v>2024-10-31 10</c:v>
                </c:pt>
                <c:pt idx="539">
                  <c:v>2024-10-31 11</c:v>
                </c:pt>
                <c:pt idx="540">
                  <c:v>2024-10-31 12</c:v>
                </c:pt>
                <c:pt idx="541">
                  <c:v>2024-10-31 13</c:v>
                </c:pt>
                <c:pt idx="542">
                  <c:v>2024-10-31 14</c:v>
                </c:pt>
                <c:pt idx="543">
                  <c:v>2024-10-31 15</c:v>
                </c:pt>
                <c:pt idx="544">
                  <c:v>2024-10-31 16</c:v>
                </c:pt>
                <c:pt idx="545">
                  <c:v>2024-10-31 17</c:v>
                </c:pt>
                <c:pt idx="546">
                  <c:v>2024-10-31 18</c:v>
                </c:pt>
                <c:pt idx="547">
                  <c:v>2024-10-31 19</c:v>
                </c:pt>
                <c:pt idx="548">
                  <c:v>2024-10-31 20</c:v>
                </c:pt>
                <c:pt idx="549">
                  <c:v>2024-10-31 21</c:v>
                </c:pt>
                <c:pt idx="550">
                  <c:v>2024-10-31 22</c:v>
                </c:pt>
                <c:pt idx="551">
                  <c:v>2024-10-31 23</c:v>
                </c:pt>
              </c:strCache>
            </c:strRef>
          </c:cat>
          <c:val>
            <c:numRef>
              <c:f>Сводная_таблица_по_часам!$B$2:$B$554</c:f>
              <c:numCache>
                <c:formatCode>General</c:formatCode>
                <c:ptCount val="552"/>
                <c:pt idx="0">
                  <c:v>156</c:v>
                </c:pt>
                <c:pt idx="1">
                  <c:v>237</c:v>
                </c:pt>
                <c:pt idx="2">
                  <c:v>191</c:v>
                </c:pt>
                <c:pt idx="3">
                  <c:v>296</c:v>
                </c:pt>
                <c:pt idx="4">
                  <c:v>42</c:v>
                </c:pt>
                <c:pt idx="5">
                  <c:v>64</c:v>
                </c:pt>
                <c:pt idx="6">
                  <c:v>639</c:v>
                </c:pt>
                <c:pt idx="7">
                  <c:v>472</c:v>
                </c:pt>
                <c:pt idx="8">
                  <c:v>422</c:v>
                </c:pt>
                <c:pt idx="9">
                  <c:v>319</c:v>
                </c:pt>
                <c:pt idx="10">
                  <c:v>102</c:v>
                </c:pt>
                <c:pt idx="11">
                  <c:v>580</c:v>
                </c:pt>
                <c:pt idx="12">
                  <c:v>215</c:v>
                </c:pt>
                <c:pt idx="13">
                  <c:v>375</c:v>
                </c:pt>
                <c:pt idx="14">
                  <c:v>21</c:v>
                </c:pt>
                <c:pt idx="15">
                  <c:v>92</c:v>
                </c:pt>
                <c:pt idx="16">
                  <c:v>529</c:v>
                </c:pt>
                <c:pt idx="17">
                  <c:v>582</c:v>
                </c:pt>
                <c:pt idx="18">
                  <c:v>621</c:v>
                </c:pt>
                <c:pt idx="19">
                  <c:v>166</c:v>
                </c:pt>
                <c:pt idx="20">
                  <c:v>29</c:v>
                </c:pt>
                <c:pt idx="21">
                  <c:v>610</c:v>
                </c:pt>
                <c:pt idx="22">
                  <c:v>458</c:v>
                </c:pt>
                <c:pt idx="23">
                  <c:v>603</c:v>
                </c:pt>
                <c:pt idx="24">
                  <c:v>598</c:v>
                </c:pt>
                <c:pt idx="25">
                  <c:v>211</c:v>
                </c:pt>
                <c:pt idx="26">
                  <c:v>101</c:v>
                </c:pt>
                <c:pt idx="27">
                  <c:v>146</c:v>
                </c:pt>
                <c:pt idx="28">
                  <c:v>138</c:v>
                </c:pt>
                <c:pt idx="29">
                  <c:v>304</c:v>
                </c:pt>
                <c:pt idx="30">
                  <c:v>150</c:v>
                </c:pt>
                <c:pt idx="31">
                  <c:v>545</c:v>
                </c:pt>
                <c:pt idx="32">
                  <c:v>506</c:v>
                </c:pt>
                <c:pt idx="33">
                  <c:v>219</c:v>
                </c:pt>
                <c:pt idx="34">
                  <c:v>91</c:v>
                </c:pt>
                <c:pt idx="35">
                  <c:v>55</c:v>
                </c:pt>
                <c:pt idx="36">
                  <c:v>403</c:v>
                </c:pt>
                <c:pt idx="37">
                  <c:v>516</c:v>
                </c:pt>
                <c:pt idx="38">
                  <c:v>284</c:v>
                </c:pt>
                <c:pt idx="39">
                  <c:v>287</c:v>
                </c:pt>
                <c:pt idx="40">
                  <c:v>257</c:v>
                </c:pt>
                <c:pt idx="41">
                  <c:v>444</c:v>
                </c:pt>
                <c:pt idx="42">
                  <c:v>410</c:v>
                </c:pt>
                <c:pt idx="43">
                  <c:v>617</c:v>
                </c:pt>
                <c:pt idx="44">
                  <c:v>611</c:v>
                </c:pt>
                <c:pt idx="45">
                  <c:v>240</c:v>
                </c:pt>
                <c:pt idx="46">
                  <c:v>129</c:v>
                </c:pt>
                <c:pt idx="47">
                  <c:v>504</c:v>
                </c:pt>
                <c:pt idx="48">
                  <c:v>409</c:v>
                </c:pt>
                <c:pt idx="49">
                  <c:v>333</c:v>
                </c:pt>
                <c:pt idx="50">
                  <c:v>186</c:v>
                </c:pt>
                <c:pt idx="51">
                  <c:v>354</c:v>
                </c:pt>
                <c:pt idx="52">
                  <c:v>470</c:v>
                </c:pt>
                <c:pt idx="53">
                  <c:v>175</c:v>
                </c:pt>
                <c:pt idx="54">
                  <c:v>290</c:v>
                </c:pt>
                <c:pt idx="55">
                  <c:v>174</c:v>
                </c:pt>
                <c:pt idx="56">
                  <c:v>76</c:v>
                </c:pt>
                <c:pt idx="57">
                  <c:v>162</c:v>
                </c:pt>
                <c:pt idx="58">
                  <c:v>182</c:v>
                </c:pt>
                <c:pt idx="59">
                  <c:v>248</c:v>
                </c:pt>
                <c:pt idx="60">
                  <c:v>423</c:v>
                </c:pt>
                <c:pt idx="61">
                  <c:v>178</c:v>
                </c:pt>
                <c:pt idx="62">
                  <c:v>550</c:v>
                </c:pt>
                <c:pt idx="63">
                  <c:v>474</c:v>
                </c:pt>
                <c:pt idx="64">
                  <c:v>575</c:v>
                </c:pt>
                <c:pt idx="65">
                  <c:v>385</c:v>
                </c:pt>
                <c:pt idx="66">
                  <c:v>238</c:v>
                </c:pt>
                <c:pt idx="67">
                  <c:v>326</c:v>
                </c:pt>
                <c:pt idx="68">
                  <c:v>246</c:v>
                </c:pt>
                <c:pt idx="69">
                  <c:v>344</c:v>
                </c:pt>
                <c:pt idx="70">
                  <c:v>594</c:v>
                </c:pt>
                <c:pt idx="71">
                  <c:v>856</c:v>
                </c:pt>
                <c:pt idx="72">
                  <c:v>503</c:v>
                </c:pt>
                <c:pt idx="73">
                  <c:v>62</c:v>
                </c:pt>
                <c:pt idx="74">
                  <c:v>41</c:v>
                </c:pt>
                <c:pt idx="75">
                  <c:v>635</c:v>
                </c:pt>
                <c:pt idx="76">
                  <c:v>6</c:v>
                </c:pt>
                <c:pt idx="77">
                  <c:v>23</c:v>
                </c:pt>
                <c:pt idx="78">
                  <c:v>271</c:v>
                </c:pt>
                <c:pt idx="79">
                  <c:v>96</c:v>
                </c:pt>
                <c:pt idx="80">
                  <c:v>307</c:v>
                </c:pt>
                <c:pt idx="81">
                  <c:v>349</c:v>
                </c:pt>
                <c:pt idx="82">
                  <c:v>97</c:v>
                </c:pt>
                <c:pt idx="83">
                  <c:v>274</c:v>
                </c:pt>
                <c:pt idx="84">
                  <c:v>4</c:v>
                </c:pt>
                <c:pt idx="85">
                  <c:v>60</c:v>
                </c:pt>
                <c:pt idx="86">
                  <c:v>568</c:v>
                </c:pt>
                <c:pt idx="87">
                  <c:v>396</c:v>
                </c:pt>
                <c:pt idx="88">
                  <c:v>158</c:v>
                </c:pt>
                <c:pt idx="89">
                  <c:v>608</c:v>
                </c:pt>
                <c:pt idx="90">
                  <c:v>493</c:v>
                </c:pt>
                <c:pt idx="91">
                  <c:v>98</c:v>
                </c:pt>
                <c:pt idx="92">
                  <c:v>333</c:v>
                </c:pt>
                <c:pt idx="93">
                  <c:v>186</c:v>
                </c:pt>
                <c:pt idx="94">
                  <c:v>354</c:v>
                </c:pt>
                <c:pt idx="95">
                  <c:v>470</c:v>
                </c:pt>
                <c:pt idx="96">
                  <c:v>434</c:v>
                </c:pt>
                <c:pt idx="97">
                  <c:v>169</c:v>
                </c:pt>
                <c:pt idx="98">
                  <c:v>356</c:v>
                </c:pt>
                <c:pt idx="99">
                  <c:v>245</c:v>
                </c:pt>
                <c:pt idx="100">
                  <c:v>596</c:v>
                </c:pt>
                <c:pt idx="101">
                  <c:v>309</c:v>
                </c:pt>
                <c:pt idx="102">
                  <c:v>475</c:v>
                </c:pt>
                <c:pt idx="103">
                  <c:v>361</c:v>
                </c:pt>
                <c:pt idx="104">
                  <c:v>563</c:v>
                </c:pt>
                <c:pt idx="105">
                  <c:v>527</c:v>
                </c:pt>
                <c:pt idx="106">
                  <c:v>584</c:v>
                </c:pt>
                <c:pt idx="107">
                  <c:v>58</c:v>
                </c:pt>
                <c:pt idx="108">
                  <c:v>536</c:v>
                </c:pt>
                <c:pt idx="109">
                  <c:v>622</c:v>
                </c:pt>
                <c:pt idx="110">
                  <c:v>501</c:v>
                </c:pt>
                <c:pt idx="111">
                  <c:v>293</c:v>
                </c:pt>
                <c:pt idx="112">
                  <c:v>252</c:v>
                </c:pt>
                <c:pt idx="113">
                  <c:v>256</c:v>
                </c:pt>
                <c:pt idx="114">
                  <c:v>20</c:v>
                </c:pt>
                <c:pt idx="115">
                  <c:v>209</c:v>
                </c:pt>
                <c:pt idx="116">
                  <c:v>417</c:v>
                </c:pt>
                <c:pt idx="117">
                  <c:v>374</c:v>
                </c:pt>
                <c:pt idx="118">
                  <c:v>389</c:v>
                </c:pt>
                <c:pt idx="119">
                  <c:v>262</c:v>
                </c:pt>
                <c:pt idx="120">
                  <c:v>399</c:v>
                </c:pt>
                <c:pt idx="121">
                  <c:v>539</c:v>
                </c:pt>
                <c:pt idx="122">
                  <c:v>534</c:v>
                </c:pt>
                <c:pt idx="123">
                  <c:v>230</c:v>
                </c:pt>
                <c:pt idx="124">
                  <c:v>438</c:v>
                </c:pt>
                <c:pt idx="125">
                  <c:v>515</c:v>
                </c:pt>
                <c:pt idx="126">
                  <c:v>118</c:v>
                </c:pt>
                <c:pt idx="127">
                  <c:v>555</c:v>
                </c:pt>
                <c:pt idx="128">
                  <c:v>79</c:v>
                </c:pt>
                <c:pt idx="129">
                  <c:v>68</c:v>
                </c:pt>
                <c:pt idx="130">
                  <c:v>513</c:v>
                </c:pt>
                <c:pt idx="131">
                  <c:v>46</c:v>
                </c:pt>
                <c:pt idx="132">
                  <c:v>465</c:v>
                </c:pt>
                <c:pt idx="133">
                  <c:v>235</c:v>
                </c:pt>
                <c:pt idx="134">
                  <c:v>384</c:v>
                </c:pt>
                <c:pt idx="135">
                  <c:v>164</c:v>
                </c:pt>
                <c:pt idx="136">
                  <c:v>216</c:v>
                </c:pt>
                <c:pt idx="137">
                  <c:v>426</c:v>
                </c:pt>
                <c:pt idx="138">
                  <c:v>502</c:v>
                </c:pt>
                <c:pt idx="139">
                  <c:v>149</c:v>
                </c:pt>
                <c:pt idx="140">
                  <c:v>425</c:v>
                </c:pt>
                <c:pt idx="141">
                  <c:v>462</c:v>
                </c:pt>
                <c:pt idx="142">
                  <c:v>196</c:v>
                </c:pt>
                <c:pt idx="143">
                  <c:v>88</c:v>
                </c:pt>
                <c:pt idx="144">
                  <c:v>188</c:v>
                </c:pt>
                <c:pt idx="145">
                  <c:v>590</c:v>
                </c:pt>
                <c:pt idx="146">
                  <c:v>355</c:v>
                </c:pt>
                <c:pt idx="147">
                  <c:v>218</c:v>
                </c:pt>
                <c:pt idx="148">
                  <c:v>619</c:v>
                </c:pt>
                <c:pt idx="149">
                  <c:v>28</c:v>
                </c:pt>
                <c:pt idx="150">
                  <c:v>538</c:v>
                </c:pt>
                <c:pt idx="151">
                  <c:v>407</c:v>
                </c:pt>
                <c:pt idx="152">
                  <c:v>553</c:v>
                </c:pt>
                <c:pt idx="153">
                  <c:v>561</c:v>
                </c:pt>
                <c:pt idx="154">
                  <c:v>139</c:v>
                </c:pt>
                <c:pt idx="155">
                  <c:v>128</c:v>
                </c:pt>
                <c:pt idx="156">
                  <c:v>436</c:v>
                </c:pt>
                <c:pt idx="157">
                  <c:v>179</c:v>
                </c:pt>
                <c:pt idx="158">
                  <c:v>433</c:v>
                </c:pt>
                <c:pt idx="159">
                  <c:v>331</c:v>
                </c:pt>
                <c:pt idx="160">
                  <c:v>322</c:v>
                </c:pt>
                <c:pt idx="161">
                  <c:v>77</c:v>
                </c:pt>
                <c:pt idx="162">
                  <c:v>263</c:v>
                </c:pt>
                <c:pt idx="163">
                  <c:v>86</c:v>
                </c:pt>
                <c:pt idx="164">
                  <c:v>526</c:v>
                </c:pt>
                <c:pt idx="165">
                  <c:v>587</c:v>
                </c:pt>
                <c:pt idx="166">
                  <c:v>9</c:v>
                </c:pt>
                <c:pt idx="167">
                  <c:v>124</c:v>
                </c:pt>
                <c:pt idx="168">
                  <c:v>572</c:v>
                </c:pt>
                <c:pt idx="169">
                  <c:v>80</c:v>
                </c:pt>
                <c:pt idx="170">
                  <c:v>170</c:v>
                </c:pt>
                <c:pt idx="171">
                  <c:v>599</c:v>
                </c:pt>
                <c:pt idx="172">
                  <c:v>85</c:v>
                </c:pt>
                <c:pt idx="173">
                  <c:v>556</c:v>
                </c:pt>
                <c:pt idx="174">
                  <c:v>463</c:v>
                </c:pt>
                <c:pt idx="175">
                  <c:v>588</c:v>
                </c:pt>
                <c:pt idx="176">
                  <c:v>316</c:v>
                </c:pt>
                <c:pt idx="177">
                  <c:v>483</c:v>
                </c:pt>
                <c:pt idx="178">
                  <c:v>336</c:v>
                </c:pt>
                <c:pt idx="179">
                  <c:v>402</c:v>
                </c:pt>
                <c:pt idx="180">
                  <c:v>523</c:v>
                </c:pt>
                <c:pt idx="181">
                  <c:v>589</c:v>
                </c:pt>
                <c:pt idx="182">
                  <c:v>24</c:v>
                </c:pt>
                <c:pt idx="183">
                  <c:v>380</c:v>
                </c:pt>
                <c:pt idx="184">
                  <c:v>573</c:v>
                </c:pt>
                <c:pt idx="185">
                  <c:v>533</c:v>
                </c:pt>
                <c:pt idx="186">
                  <c:v>120</c:v>
                </c:pt>
                <c:pt idx="187">
                  <c:v>574</c:v>
                </c:pt>
                <c:pt idx="188">
                  <c:v>312</c:v>
                </c:pt>
                <c:pt idx="189">
                  <c:v>510</c:v>
                </c:pt>
                <c:pt idx="190">
                  <c:v>408</c:v>
                </c:pt>
                <c:pt idx="191">
                  <c:v>155</c:v>
                </c:pt>
                <c:pt idx="192">
                  <c:v>390</c:v>
                </c:pt>
                <c:pt idx="193">
                  <c:v>251</c:v>
                </c:pt>
                <c:pt idx="194">
                  <c:v>401</c:v>
                </c:pt>
                <c:pt idx="195">
                  <c:v>5</c:v>
                </c:pt>
                <c:pt idx="196">
                  <c:v>53</c:v>
                </c:pt>
                <c:pt idx="197">
                  <c:v>121</c:v>
                </c:pt>
                <c:pt idx="198">
                  <c:v>431</c:v>
                </c:pt>
                <c:pt idx="199">
                  <c:v>199</c:v>
                </c:pt>
                <c:pt idx="200">
                  <c:v>89</c:v>
                </c:pt>
                <c:pt idx="201">
                  <c:v>292</c:v>
                </c:pt>
                <c:pt idx="202">
                  <c:v>508</c:v>
                </c:pt>
                <c:pt idx="203">
                  <c:v>275</c:v>
                </c:pt>
                <c:pt idx="204">
                  <c:v>520</c:v>
                </c:pt>
                <c:pt idx="205">
                  <c:v>378</c:v>
                </c:pt>
                <c:pt idx="206">
                  <c:v>624</c:v>
                </c:pt>
                <c:pt idx="207">
                  <c:v>73</c:v>
                </c:pt>
                <c:pt idx="208">
                  <c:v>569</c:v>
                </c:pt>
                <c:pt idx="209">
                  <c:v>634</c:v>
                </c:pt>
                <c:pt idx="210">
                  <c:v>27</c:v>
                </c:pt>
                <c:pt idx="211">
                  <c:v>642</c:v>
                </c:pt>
                <c:pt idx="212">
                  <c:v>201</c:v>
                </c:pt>
                <c:pt idx="213">
                  <c:v>266</c:v>
                </c:pt>
                <c:pt idx="214">
                  <c:v>512</c:v>
                </c:pt>
                <c:pt idx="215">
                  <c:v>154</c:v>
                </c:pt>
                <c:pt idx="216">
                  <c:v>394</c:v>
                </c:pt>
                <c:pt idx="217">
                  <c:v>566</c:v>
                </c:pt>
                <c:pt idx="218">
                  <c:v>497</c:v>
                </c:pt>
                <c:pt idx="219">
                  <c:v>419</c:v>
                </c:pt>
                <c:pt idx="220">
                  <c:v>530</c:v>
                </c:pt>
                <c:pt idx="221">
                  <c:v>224</c:v>
                </c:pt>
                <c:pt idx="222">
                  <c:v>177</c:v>
                </c:pt>
                <c:pt idx="223">
                  <c:v>153</c:v>
                </c:pt>
                <c:pt idx="224">
                  <c:v>637</c:v>
                </c:pt>
                <c:pt idx="225">
                  <c:v>56</c:v>
                </c:pt>
                <c:pt idx="226">
                  <c:v>477</c:v>
                </c:pt>
                <c:pt idx="227">
                  <c:v>398</c:v>
                </c:pt>
                <c:pt idx="228">
                  <c:v>416</c:v>
                </c:pt>
                <c:pt idx="229">
                  <c:v>558</c:v>
                </c:pt>
                <c:pt idx="230">
                  <c:v>329</c:v>
                </c:pt>
                <c:pt idx="231">
                  <c:v>300</c:v>
                </c:pt>
                <c:pt idx="232">
                  <c:v>145</c:v>
                </c:pt>
                <c:pt idx="233">
                  <c:v>452</c:v>
                </c:pt>
                <c:pt idx="234">
                  <c:v>577</c:v>
                </c:pt>
                <c:pt idx="235">
                  <c:v>511</c:v>
                </c:pt>
                <c:pt idx="236">
                  <c:v>543</c:v>
                </c:pt>
                <c:pt idx="237">
                  <c:v>372</c:v>
                </c:pt>
                <c:pt idx="238">
                  <c:v>183</c:v>
                </c:pt>
                <c:pt idx="239">
                  <c:v>392</c:v>
                </c:pt>
                <c:pt idx="240">
                  <c:v>460</c:v>
                </c:pt>
                <c:pt idx="241">
                  <c:v>112</c:v>
                </c:pt>
                <c:pt idx="242">
                  <c:v>103</c:v>
                </c:pt>
                <c:pt idx="243">
                  <c:v>633</c:v>
                </c:pt>
                <c:pt idx="244">
                  <c:v>541</c:v>
                </c:pt>
                <c:pt idx="245">
                  <c:v>265</c:v>
                </c:pt>
                <c:pt idx="246">
                  <c:v>17</c:v>
                </c:pt>
                <c:pt idx="247">
                  <c:v>406</c:v>
                </c:pt>
                <c:pt idx="248">
                  <c:v>476</c:v>
                </c:pt>
                <c:pt idx="249">
                  <c:v>632</c:v>
                </c:pt>
                <c:pt idx="250">
                  <c:v>192</c:v>
                </c:pt>
                <c:pt idx="251">
                  <c:v>247</c:v>
                </c:pt>
                <c:pt idx="252">
                  <c:v>638</c:v>
                </c:pt>
                <c:pt idx="253">
                  <c:v>341</c:v>
                </c:pt>
                <c:pt idx="254">
                  <c:v>109</c:v>
                </c:pt>
                <c:pt idx="255">
                  <c:v>440</c:v>
                </c:pt>
                <c:pt idx="256">
                  <c:v>544</c:v>
                </c:pt>
                <c:pt idx="257">
                  <c:v>75</c:v>
                </c:pt>
                <c:pt idx="258">
                  <c:v>227</c:v>
                </c:pt>
                <c:pt idx="259">
                  <c:v>210</c:v>
                </c:pt>
                <c:pt idx="260">
                  <c:v>277</c:v>
                </c:pt>
                <c:pt idx="261">
                  <c:v>93</c:v>
                </c:pt>
                <c:pt idx="262">
                  <c:v>626</c:v>
                </c:pt>
                <c:pt idx="263">
                  <c:v>157</c:v>
                </c:pt>
                <c:pt idx="264">
                  <c:v>104</c:v>
                </c:pt>
                <c:pt idx="265">
                  <c:v>187</c:v>
                </c:pt>
                <c:pt idx="266">
                  <c:v>217</c:v>
                </c:pt>
                <c:pt idx="267">
                  <c:v>295</c:v>
                </c:pt>
                <c:pt idx="268">
                  <c:v>641</c:v>
                </c:pt>
                <c:pt idx="269">
                  <c:v>345</c:v>
                </c:pt>
                <c:pt idx="270">
                  <c:v>478</c:v>
                </c:pt>
                <c:pt idx="271">
                  <c:v>84</c:v>
                </c:pt>
                <c:pt idx="272">
                  <c:v>377</c:v>
                </c:pt>
                <c:pt idx="273">
                  <c:v>473</c:v>
                </c:pt>
                <c:pt idx="274">
                  <c:v>105</c:v>
                </c:pt>
                <c:pt idx="275">
                  <c:v>567</c:v>
                </c:pt>
                <c:pt idx="276">
                  <c:v>437</c:v>
                </c:pt>
                <c:pt idx="277">
                  <c:v>203</c:v>
                </c:pt>
                <c:pt idx="278">
                  <c:v>67</c:v>
                </c:pt>
                <c:pt idx="279">
                  <c:v>110</c:v>
                </c:pt>
                <c:pt idx="280">
                  <c:v>100</c:v>
                </c:pt>
                <c:pt idx="281">
                  <c:v>643</c:v>
                </c:pt>
                <c:pt idx="282">
                  <c:v>542</c:v>
                </c:pt>
                <c:pt idx="283">
                  <c:v>302</c:v>
                </c:pt>
                <c:pt idx="284">
                  <c:v>59</c:v>
                </c:pt>
                <c:pt idx="285">
                  <c:v>330</c:v>
                </c:pt>
                <c:pt idx="286">
                  <c:v>614</c:v>
                </c:pt>
                <c:pt idx="287">
                  <c:v>388</c:v>
                </c:pt>
                <c:pt idx="288">
                  <c:v>160</c:v>
                </c:pt>
                <c:pt idx="289">
                  <c:v>453</c:v>
                </c:pt>
                <c:pt idx="290">
                  <c:v>644</c:v>
                </c:pt>
                <c:pt idx="291">
                  <c:v>16</c:v>
                </c:pt>
                <c:pt idx="292">
                  <c:v>602</c:v>
                </c:pt>
                <c:pt idx="293">
                  <c:v>12</c:v>
                </c:pt>
                <c:pt idx="294">
                  <c:v>604</c:v>
                </c:pt>
                <c:pt idx="295">
                  <c:v>347</c:v>
                </c:pt>
                <c:pt idx="296">
                  <c:v>117</c:v>
                </c:pt>
                <c:pt idx="297">
                  <c:v>532</c:v>
                </c:pt>
                <c:pt idx="298">
                  <c:v>481</c:v>
                </c:pt>
                <c:pt idx="299">
                  <c:v>116</c:v>
                </c:pt>
                <c:pt idx="300">
                  <c:v>379</c:v>
                </c:pt>
                <c:pt idx="301">
                  <c:v>522</c:v>
                </c:pt>
                <c:pt idx="302">
                  <c:v>301</c:v>
                </c:pt>
                <c:pt idx="303">
                  <c:v>451</c:v>
                </c:pt>
                <c:pt idx="304">
                  <c:v>576</c:v>
                </c:pt>
                <c:pt idx="305">
                  <c:v>113</c:v>
                </c:pt>
                <c:pt idx="306">
                  <c:v>314</c:v>
                </c:pt>
                <c:pt idx="307">
                  <c:v>264</c:v>
                </c:pt>
                <c:pt idx="308">
                  <c:v>152</c:v>
                </c:pt>
                <c:pt idx="309">
                  <c:v>592</c:v>
                </c:pt>
                <c:pt idx="310">
                  <c:v>609</c:v>
                </c:pt>
                <c:pt idx="311">
                  <c:v>449</c:v>
                </c:pt>
                <c:pt idx="312">
                  <c:v>72</c:v>
                </c:pt>
                <c:pt idx="313">
                  <c:v>488</c:v>
                </c:pt>
                <c:pt idx="314">
                  <c:v>180</c:v>
                </c:pt>
                <c:pt idx="315">
                  <c:v>321</c:v>
                </c:pt>
                <c:pt idx="316">
                  <c:v>194</c:v>
                </c:pt>
                <c:pt idx="317">
                  <c:v>456</c:v>
                </c:pt>
                <c:pt idx="318">
                  <c:v>99</c:v>
                </c:pt>
                <c:pt idx="319">
                  <c:v>487</c:v>
                </c:pt>
                <c:pt idx="320">
                  <c:v>562</c:v>
                </c:pt>
                <c:pt idx="321">
                  <c:v>137</c:v>
                </c:pt>
                <c:pt idx="322">
                  <c:v>228</c:v>
                </c:pt>
                <c:pt idx="323">
                  <c:v>243</c:v>
                </c:pt>
                <c:pt idx="324">
                  <c:v>340</c:v>
                </c:pt>
                <c:pt idx="325">
                  <c:v>198</c:v>
                </c:pt>
                <c:pt idx="326">
                  <c:v>579</c:v>
                </c:pt>
                <c:pt idx="327">
                  <c:v>225</c:v>
                </c:pt>
                <c:pt idx="328">
                  <c:v>206</c:v>
                </c:pt>
                <c:pt idx="329">
                  <c:v>34</c:v>
                </c:pt>
                <c:pt idx="330">
                  <c:v>565</c:v>
                </c:pt>
                <c:pt idx="331">
                  <c:v>123</c:v>
                </c:pt>
                <c:pt idx="332">
                  <c:v>268</c:v>
                </c:pt>
                <c:pt idx="333">
                  <c:v>259</c:v>
                </c:pt>
                <c:pt idx="334">
                  <c:v>363</c:v>
                </c:pt>
                <c:pt idx="335">
                  <c:v>486</c:v>
                </c:pt>
                <c:pt idx="336">
                  <c:v>317</c:v>
                </c:pt>
                <c:pt idx="337">
                  <c:v>518</c:v>
                </c:pt>
                <c:pt idx="338">
                  <c:v>498</c:v>
                </c:pt>
                <c:pt idx="339">
                  <c:v>221</c:v>
                </c:pt>
                <c:pt idx="340">
                  <c:v>234</c:v>
                </c:pt>
                <c:pt idx="341">
                  <c:v>631</c:v>
                </c:pt>
                <c:pt idx="342">
                  <c:v>537</c:v>
                </c:pt>
                <c:pt idx="343">
                  <c:v>549</c:v>
                </c:pt>
                <c:pt idx="344">
                  <c:v>443</c:v>
                </c:pt>
                <c:pt idx="345">
                  <c:v>471</c:v>
                </c:pt>
                <c:pt idx="346">
                  <c:v>61</c:v>
                </c:pt>
                <c:pt idx="347">
                  <c:v>615</c:v>
                </c:pt>
                <c:pt idx="348">
                  <c:v>11</c:v>
                </c:pt>
                <c:pt idx="349">
                  <c:v>207</c:v>
                </c:pt>
                <c:pt idx="350">
                  <c:v>442</c:v>
                </c:pt>
                <c:pt idx="351">
                  <c:v>525</c:v>
                </c:pt>
                <c:pt idx="352">
                  <c:v>646</c:v>
                </c:pt>
                <c:pt idx="353">
                  <c:v>640</c:v>
                </c:pt>
                <c:pt idx="354">
                  <c:v>557</c:v>
                </c:pt>
                <c:pt idx="355">
                  <c:v>459</c:v>
                </c:pt>
                <c:pt idx="356">
                  <c:v>420</c:v>
                </c:pt>
                <c:pt idx="357">
                  <c:v>173</c:v>
                </c:pt>
                <c:pt idx="358">
                  <c:v>448</c:v>
                </c:pt>
                <c:pt idx="359">
                  <c:v>114</c:v>
                </c:pt>
                <c:pt idx="360">
                  <c:v>167</c:v>
                </c:pt>
                <c:pt idx="361">
                  <c:v>352</c:v>
                </c:pt>
                <c:pt idx="362">
                  <c:v>148</c:v>
                </c:pt>
                <c:pt idx="363">
                  <c:v>13</c:v>
                </c:pt>
                <c:pt idx="364">
                  <c:v>597</c:v>
                </c:pt>
                <c:pt idx="365">
                  <c:v>441</c:v>
                </c:pt>
                <c:pt idx="366">
                  <c:v>37</c:v>
                </c:pt>
                <c:pt idx="367">
                  <c:v>365</c:v>
                </c:pt>
                <c:pt idx="368">
                  <c:v>358</c:v>
                </c:pt>
                <c:pt idx="369">
                  <c:v>484</c:v>
                </c:pt>
                <c:pt idx="370">
                  <c:v>367</c:v>
                </c:pt>
                <c:pt idx="371">
                  <c:v>127</c:v>
                </c:pt>
                <c:pt idx="372">
                  <c:v>368</c:v>
                </c:pt>
                <c:pt idx="373">
                  <c:v>387</c:v>
                </c:pt>
                <c:pt idx="374">
                  <c:v>629</c:v>
                </c:pt>
                <c:pt idx="375">
                  <c:v>645</c:v>
                </c:pt>
                <c:pt idx="376">
                  <c:v>33</c:v>
                </c:pt>
                <c:pt idx="377">
                  <c:v>554</c:v>
                </c:pt>
                <c:pt idx="378">
                  <c:v>430</c:v>
                </c:pt>
                <c:pt idx="379">
                  <c:v>332</c:v>
                </c:pt>
                <c:pt idx="380">
                  <c:v>435</c:v>
                </c:pt>
                <c:pt idx="381">
                  <c:v>605</c:v>
                </c:pt>
                <c:pt idx="382">
                  <c:v>47</c:v>
                </c:pt>
                <c:pt idx="383">
                  <c:v>303</c:v>
                </c:pt>
                <c:pt idx="384">
                  <c:v>496</c:v>
                </c:pt>
                <c:pt idx="385">
                  <c:v>383</c:v>
                </c:pt>
                <c:pt idx="386">
                  <c:v>381</c:v>
                </c:pt>
                <c:pt idx="387">
                  <c:v>351</c:v>
                </c:pt>
                <c:pt idx="388">
                  <c:v>165</c:v>
                </c:pt>
                <c:pt idx="389">
                  <c:v>272</c:v>
                </c:pt>
                <c:pt idx="390">
                  <c:v>445</c:v>
                </c:pt>
                <c:pt idx="391">
                  <c:v>338</c:v>
                </c:pt>
                <c:pt idx="392">
                  <c:v>140</c:v>
                </c:pt>
                <c:pt idx="393">
                  <c:v>623</c:v>
                </c:pt>
                <c:pt idx="394">
                  <c:v>269</c:v>
                </c:pt>
                <c:pt idx="395">
                  <c:v>546</c:v>
                </c:pt>
                <c:pt idx="396">
                  <c:v>318</c:v>
                </c:pt>
                <c:pt idx="397">
                  <c:v>397</c:v>
                </c:pt>
                <c:pt idx="398">
                  <c:v>241</c:v>
                </c:pt>
                <c:pt idx="399">
                  <c:v>636</c:v>
                </c:pt>
                <c:pt idx="400">
                  <c:v>156</c:v>
                </c:pt>
                <c:pt idx="401">
                  <c:v>327</c:v>
                </c:pt>
                <c:pt idx="402">
                  <c:v>39</c:v>
                </c:pt>
                <c:pt idx="403">
                  <c:v>485</c:v>
                </c:pt>
                <c:pt idx="404">
                  <c:v>134</c:v>
                </c:pt>
                <c:pt idx="405">
                  <c:v>82</c:v>
                </c:pt>
                <c:pt idx="406">
                  <c:v>57</c:v>
                </c:pt>
                <c:pt idx="407">
                  <c:v>283</c:v>
                </c:pt>
                <c:pt idx="408">
                  <c:v>308</c:v>
                </c:pt>
                <c:pt idx="409">
                  <c:v>495</c:v>
                </c:pt>
                <c:pt idx="410">
                  <c:v>547</c:v>
                </c:pt>
                <c:pt idx="411">
                  <c:v>447</c:v>
                </c:pt>
                <c:pt idx="412">
                  <c:v>413</c:v>
                </c:pt>
                <c:pt idx="413">
                  <c:v>168</c:v>
                </c:pt>
                <c:pt idx="414">
                  <c:v>339</c:v>
                </c:pt>
                <c:pt idx="415">
                  <c:v>450</c:v>
                </c:pt>
                <c:pt idx="416">
                  <c:v>242</c:v>
                </c:pt>
                <c:pt idx="417">
                  <c:v>531</c:v>
                </c:pt>
                <c:pt idx="418">
                  <c:v>494</c:v>
                </c:pt>
                <c:pt idx="419">
                  <c:v>131</c:v>
                </c:pt>
                <c:pt idx="420">
                  <c:v>360</c:v>
                </c:pt>
                <c:pt idx="421">
                  <c:v>212</c:v>
                </c:pt>
                <c:pt idx="422">
                  <c:v>222</c:v>
                </c:pt>
                <c:pt idx="423">
                  <c:v>466</c:v>
                </c:pt>
                <c:pt idx="424">
                  <c:v>560</c:v>
                </c:pt>
                <c:pt idx="425">
                  <c:v>618</c:v>
                </c:pt>
                <c:pt idx="426">
                  <c:v>364</c:v>
                </c:pt>
                <c:pt idx="427">
                  <c:v>540</c:v>
                </c:pt>
                <c:pt idx="428">
                  <c:v>382</c:v>
                </c:pt>
                <c:pt idx="429">
                  <c:v>514</c:v>
                </c:pt>
                <c:pt idx="430">
                  <c:v>31</c:v>
                </c:pt>
                <c:pt idx="431">
                  <c:v>371</c:v>
                </c:pt>
                <c:pt idx="432">
                  <c:v>278</c:v>
                </c:pt>
                <c:pt idx="433">
                  <c:v>311</c:v>
                </c:pt>
                <c:pt idx="434">
                  <c:v>517</c:v>
                </c:pt>
                <c:pt idx="435">
                  <c:v>429</c:v>
                </c:pt>
                <c:pt idx="436">
                  <c:v>276</c:v>
                </c:pt>
                <c:pt idx="437">
                  <c:v>291</c:v>
                </c:pt>
                <c:pt idx="438">
                  <c:v>233</c:v>
                </c:pt>
                <c:pt idx="439">
                  <c:v>585</c:v>
                </c:pt>
                <c:pt idx="440">
                  <c:v>414</c:v>
                </c:pt>
                <c:pt idx="441">
                  <c:v>49</c:v>
                </c:pt>
                <c:pt idx="442">
                  <c:v>18</c:v>
                </c:pt>
                <c:pt idx="443">
                  <c:v>357</c:v>
                </c:pt>
                <c:pt idx="444">
                  <c:v>325</c:v>
                </c:pt>
                <c:pt idx="445">
                  <c:v>270</c:v>
                </c:pt>
                <c:pt idx="446">
                  <c:v>552</c:v>
                </c:pt>
                <c:pt idx="447">
                  <c:v>223</c:v>
                </c:pt>
                <c:pt idx="448">
                  <c:v>40</c:v>
                </c:pt>
                <c:pt idx="449">
                  <c:v>337</c:v>
                </c:pt>
                <c:pt idx="450">
                  <c:v>446</c:v>
                </c:pt>
                <c:pt idx="451">
                  <c:v>8</c:v>
                </c:pt>
                <c:pt idx="452">
                  <c:v>350</c:v>
                </c:pt>
                <c:pt idx="453">
                  <c:v>455</c:v>
                </c:pt>
                <c:pt idx="454">
                  <c:v>479</c:v>
                </c:pt>
                <c:pt idx="455">
                  <c:v>428</c:v>
                </c:pt>
                <c:pt idx="456">
                  <c:v>464</c:v>
                </c:pt>
                <c:pt idx="457">
                  <c:v>391</c:v>
                </c:pt>
                <c:pt idx="458">
                  <c:v>14</c:v>
                </c:pt>
                <c:pt idx="459">
                  <c:v>600</c:v>
                </c:pt>
                <c:pt idx="460">
                  <c:v>52</c:v>
                </c:pt>
                <c:pt idx="461">
                  <c:v>559</c:v>
                </c:pt>
                <c:pt idx="462">
                  <c:v>607</c:v>
                </c:pt>
                <c:pt idx="463">
                  <c:v>424</c:v>
                </c:pt>
                <c:pt idx="464">
                  <c:v>625</c:v>
                </c:pt>
                <c:pt idx="465">
                  <c:v>38</c:v>
                </c:pt>
                <c:pt idx="466">
                  <c:v>310</c:v>
                </c:pt>
                <c:pt idx="467">
                  <c:v>335</c:v>
                </c:pt>
                <c:pt idx="468">
                  <c:v>313</c:v>
                </c:pt>
                <c:pt idx="469">
                  <c:v>78</c:v>
                </c:pt>
                <c:pt idx="470">
                  <c:v>151</c:v>
                </c:pt>
                <c:pt idx="471">
                  <c:v>461</c:v>
                </c:pt>
                <c:pt idx="472">
                  <c:v>255</c:v>
                </c:pt>
                <c:pt idx="473">
                  <c:v>411</c:v>
                </c:pt>
                <c:pt idx="474">
                  <c:v>202</c:v>
                </c:pt>
                <c:pt idx="475">
                  <c:v>571</c:v>
                </c:pt>
                <c:pt idx="476">
                  <c:v>386</c:v>
                </c:pt>
                <c:pt idx="477">
                  <c:v>353</c:v>
                </c:pt>
                <c:pt idx="478">
                  <c:v>650</c:v>
                </c:pt>
                <c:pt idx="479">
                  <c:v>144</c:v>
                </c:pt>
                <c:pt idx="480">
                  <c:v>267</c:v>
                </c:pt>
                <c:pt idx="481">
                  <c:v>480</c:v>
                </c:pt>
                <c:pt idx="482">
                  <c:v>141</c:v>
                </c:pt>
                <c:pt idx="483">
                  <c:v>616</c:v>
                </c:pt>
                <c:pt idx="484">
                  <c:v>432</c:v>
                </c:pt>
                <c:pt idx="485">
                  <c:v>370</c:v>
                </c:pt>
                <c:pt idx="486">
                  <c:v>305</c:v>
                </c:pt>
                <c:pt idx="487">
                  <c:v>133</c:v>
                </c:pt>
                <c:pt idx="488">
                  <c:v>253</c:v>
                </c:pt>
                <c:pt idx="489">
                  <c:v>81</c:v>
                </c:pt>
                <c:pt idx="490">
                  <c:v>586</c:v>
                </c:pt>
                <c:pt idx="491">
                  <c:v>213</c:v>
                </c:pt>
                <c:pt idx="492">
                  <c:v>323</c:v>
                </c:pt>
                <c:pt idx="493">
                  <c:v>328</c:v>
                </c:pt>
                <c:pt idx="494">
                  <c:v>107</c:v>
                </c:pt>
                <c:pt idx="495">
                  <c:v>294</c:v>
                </c:pt>
                <c:pt idx="496">
                  <c:v>83</c:v>
                </c:pt>
                <c:pt idx="497">
                  <c:v>132</c:v>
                </c:pt>
                <c:pt idx="498">
                  <c:v>490</c:v>
                </c:pt>
                <c:pt idx="499">
                  <c:v>324</c:v>
                </c:pt>
                <c:pt idx="500">
                  <c:v>509</c:v>
                </c:pt>
                <c:pt idx="501">
                  <c:v>70</c:v>
                </c:pt>
                <c:pt idx="502">
                  <c:v>10</c:v>
                </c:pt>
                <c:pt idx="503">
                  <c:v>548</c:v>
                </c:pt>
                <c:pt idx="504">
                  <c:v>306</c:v>
                </c:pt>
                <c:pt idx="505">
                  <c:v>119</c:v>
                </c:pt>
                <c:pt idx="506">
                  <c:v>43</c:v>
                </c:pt>
                <c:pt idx="507">
                  <c:v>464</c:v>
                </c:pt>
                <c:pt idx="508">
                  <c:v>391</c:v>
                </c:pt>
                <c:pt idx="509">
                  <c:v>14</c:v>
                </c:pt>
                <c:pt idx="510">
                  <c:v>600</c:v>
                </c:pt>
                <c:pt idx="511">
                  <c:v>52</c:v>
                </c:pt>
                <c:pt idx="512">
                  <c:v>559</c:v>
                </c:pt>
                <c:pt idx="513">
                  <c:v>607</c:v>
                </c:pt>
                <c:pt idx="514">
                  <c:v>424</c:v>
                </c:pt>
                <c:pt idx="515">
                  <c:v>625</c:v>
                </c:pt>
                <c:pt idx="516">
                  <c:v>38</c:v>
                </c:pt>
                <c:pt idx="517">
                  <c:v>310</c:v>
                </c:pt>
                <c:pt idx="518">
                  <c:v>335</c:v>
                </c:pt>
                <c:pt idx="519">
                  <c:v>313</c:v>
                </c:pt>
                <c:pt idx="520">
                  <c:v>78</c:v>
                </c:pt>
                <c:pt idx="521">
                  <c:v>151</c:v>
                </c:pt>
                <c:pt idx="522">
                  <c:v>461</c:v>
                </c:pt>
                <c:pt idx="523">
                  <c:v>523</c:v>
                </c:pt>
                <c:pt idx="524">
                  <c:v>789</c:v>
                </c:pt>
                <c:pt idx="525">
                  <c:v>654</c:v>
                </c:pt>
                <c:pt idx="526">
                  <c:v>125</c:v>
                </c:pt>
                <c:pt idx="527">
                  <c:v>658</c:v>
                </c:pt>
                <c:pt idx="528">
                  <c:v>473</c:v>
                </c:pt>
                <c:pt idx="529">
                  <c:v>736</c:v>
                </c:pt>
                <c:pt idx="530">
                  <c:v>1162</c:v>
                </c:pt>
                <c:pt idx="531">
                  <c:v>338</c:v>
                </c:pt>
                <c:pt idx="532">
                  <c:v>772</c:v>
                </c:pt>
                <c:pt idx="533">
                  <c:v>195</c:v>
                </c:pt>
                <c:pt idx="534">
                  <c:v>184</c:v>
                </c:pt>
                <c:pt idx="535">
                  <c:v>427</c:v>
                </c:pt>
                <c:pt idx="536">
                  <c:v>19</c:v>
                </c:pt>
                <c:pt idx="537">
                  <c:v>299</c:v>
                </c:pt>
                <c:pt idx="538">
                  <c:v>627</c:v>
                </c:pt>
                <c:pt idx="539">
                  <c:v>620</c:v>
                </c:pt>
                <c:pt idx="540">
                  <c:v>106</c:v>
                </c:pt>
                <c:pt idx="541">
                  <c:v>280</c:v>
                </c:pt>
                <c:pt idx="542">
                  <c:v>457</c:v>
                </c:pt>
                <c:pt idx="543">
                  <c:v>15</c:v>
                </c:pt>
                <c:pt idx="544">
                  <c:v>208</c:v>
                </c:pt>
                <c:pt idx="545">
                  <c:v>136</c:v>
                </c:pt>
                <c:pt idx="546">
                  <c:v>65</c:v>
                </c:pt>
                <c:pt idx="547">
                  <c:v>25</c:v>
                </c:pt>
                <c:pt idx="548">
                  <c:v>22</c:v>
                </c:pt>
                <c:pt idx="549">
                  <c:v>27</c:v>
                </c:pt>
                <c:pt idx="550">
                  <c:v>30</c:v>
                </c:pt>
                <c:pt idx="551">
                  <c:v>273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466592"/>
        <c:axId val="1187470336"/>
      </c:barChart>
      <c:catAx>
        <c:axId val="11874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7470336"/>
        <c:crosses val="autoZero"/>
        <c:auto val="1"/>
        <c:lblAlgn val="ctr"/>
        <c:lblOffset val="100"/>
        <c:noMultiLvlLbl val="0"/>
      </c:catAx>
      <c:valAx>
        <c:axId val="1187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746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c8df84-f91e-47ea-92eb-0e49dff733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141268</xdr:colOff>
      <xdr:row>2</xdr:row>
      <xdr:rowOff>160961</xdr:rowOff>
    </xdr:from>
    <xdr:to>
      <xdr:col>48</xdr:col>
      <xdr:colOff>419527</xdr:colOff>
      <xdr:row>34</xdr:row>
      <xdr:rowOff>111303</xdr:rowOff>
    </xdr:to>
    <xdr:graphicFrame>
      <xdr:nvGraphicFramePr>
        <xdr:cNvPr id="4" name="Диаграмма 3"/>
        <xdr:cNvGraphicFramePr/>
      </xdr:nvGraphicFramePr>
      <xdr:xfrm>
        <a:off x="3242310" y="535940"/>
        <a:ext cx="27435810" cy="5802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99060</xdr:colOff>
      <xdr:row>0</xdr:row>
      <xdr:rowOff>72390</xdr:rowOff>
    </xdr:from>
    <xdr:to>
      <xdr:col>19</xdr:col>
      <xdr:colOff>281940</xdr:colOff>
      <xdr:row>27</xdr:row>
      <xdr:rowOff>106680</xdr:rowOff>
    </xdr:to>
    <xdr:graphicFrame>
      <xdr:nvGraphicFramePr>
        <xdr:cNvPr id="2" name="Диаграмма 1"/>
        <xdr:cNvGraphicFramePr/>
      </xdr:nvGraphicFramePr>
      <xdr:xfrm>
        <a:off x="2750820" y="72390"/>
        <a:ext cx="10675620" cy="4981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009.5460222222" refreshedBy="broke" recordCount="557">
  <cacheSource type="worksheet">
    <worksheetSource ref="A1:D558" sheet="Таблица_без_выходных"/>
  </cacheSource>
  <cacheFields count="4">
    <cacheField name="Дата" numFmtId="0">
      <sharedItems count="552">
        <s v="2024-10-01 00"/>
        <s v="2024-10-01 01"/>
        <s v="2024-10-01 02"/>
        <s v="2024-10-01 03"/>
        <s v="2024-10-01 04"/>
        <s v="2024-10-01 05"/>
        <s v="2024-10-01 06"/>
        <s v="2024-10-01 07"/>
        <s v="2024-10-01 08"/>
        <s v="2024-10-01 09"/>
        <s v="2024-10-01 10"/>
        <s v="2024-10-01 11"/>
        <s v="2024-10-01 12"/>
        <s v="2024-10-01 13"/>
        <s v="2024-10-01 14"/>
        <s v="2024-10-01 15"/>
        <s v="2024-10-01 16"/>
        <s v="2024-10-01 17"/>
        <s v="2024-10-01 18"/>
        <s v="2024-10-01 19"/>
        <s v="2024-10-01 20"/>
        <s v="2024-10-01 21"/>
        <s v="2024-10-01 22"/>
        <s v="2024-10-01 23"/>
        <s v="2024-10-02 00"/>
        <s v="2024-10-02 01"/>
        <s v="2024-10-02 02"/>
        <s v="2024-10-02 03"/>
        <s v="2024-10-02 04"/>
        <s v="2024-10-02 05"/>
        <s v="2024-10-02 06"/>
        <s v="2024-10-02 07"/>
        <s v="2024-10-02 08"/>
        <s v="2024-10-02 09"/>
        <s v="2024-10-02 10"/>
        <s v="2024-10-02 11"/>
        <s v="2024-10-02 12"/>
        <s v="2024-10-02 13"/>
        <s v="2024-10-02 14"/>
        <s v="2024-10-02 15"/>
        <s v="2024-10-02 16"/>
        <s v="2024-10-02 17"/>
        <s v="2024-10-02 18"/>
        <s v="2024-10-02 19"/>
        <s v="2024-10-02 20"/>
        <s v="2024-10-02 21"/>
        <s v="2024-10-02 22"/>
        <s v="2024-10-02 23"/>
        <s v="2024-10-03 00"/>
        <s v="2024-10-03 01"/>
        <s v="2024-10-03 02"/>
        <s v="2024-10-03 03"/>
        <s v="2024-10-03 04"/>
        <s v="2024-10-03 05"/>
        <s v="2024-10-03 06"/>
        <s v="2024-10-03 07"/>
        <s v="2024-10-03 08"/>
        <s v="2024-10-03 09"/>
        <s v="2024-10-03 10"/>
        <s v="2024-10-03 11"/>
        <s v="2024-10-03 12"/>
        <s v="2024-10-03 13"/>
        <s v="2024-10-03 14"/>
        <s v="2024-10-03 15"/>
        <s v="2024-10-03 16"/>
        <s v="2024-10-03 17"/>
        <s v="2024-10-03 18"/>
        <s v="2024-10-03 19"/>
        <s v="2024-10-03 20"/>
        <s v="2024-10-03 21"/>
        <s v="2024-10-03 22"/>
        <s v="2024-10-03 23"/>
        <s v="2024-10-04 00"/>
        <s v="2024-10-04 01"/>
        <s v="2024-10-04 02"/>
        <s v="2024-10-04 03"/>
        <s v="2024-10-04 04"/>
        <s v="2024-10-04 05"/>
        <s v="2024-10-04 06"/>
        <s v="2024-10-04 07"/>
        <s v="2024-10-04 08"/>
        <s v="2024-10-04 09"/>
        <s v="2024-10-04 10"/>
        <s v="2024-10-04 11"/>
        <s v="2024-10-04 12"/>
        <s v="2024-10-04 13"/>
        <s v="2024-10-04 14"/>
        <s v="2024-10-04 15"/>
        <s v="2024-10-04 16"/>
        <s v="2024-10-04 17"/>
        <s v="2024-10-04 18"/>
        <s v="2024-10-04 19"/>
        <s v="2024-10-04 20"/>
        <s v="2024-10-04 21"/>
        <s v="2024-10-04 22"/>
        <s v="2024-10-04 23"/>
        <s v="2024-10-07 00"/>
        <s v="2024-10-07 01"/>
        <s v="2024-10-07 02"/>
        <s v="2024-10-07 03"/>
        <s v="2024-10-07 04"/>
        <s v="2024-10-07 05"/>
        <s v="2024-10-07 06"/>
        <s v="2024-10-07 07"/>
        <s v="2024-10-07 08"/>
        <s v="2024-10-07 09"/>
        <s v="2024-10-07 10"/>
        <s v="2024-10-07 11"/>
        <s v="2024-10-07 12"/>
        <s v="2024-10-07 13"/>
        <s v="2024-10-07 14"/>
        <s v="2024-10-07 15"/>
        <s v="2024-10-07 16"/>
        <s v="2024-10-07 17"/>
        <s v="2024-10-07 18"/>
        <s v="2024-10-07 19"/>
        <s v="2024-10-07 20"/>
        <s v="2024-10-07 21"/>
        <s v="2024-10-07 22"/>
        <s v="2024-10-07 23"/>
        <s v="2024-10-08 00"/>
        <s v="2024-10-08 01"/>
        <s v="2024-10-08 02"/>
        <s v="2024-10-08 03"/>
        <s v="2024-10-08 04"/>
        <s v="2024-10-08 05"/>
        <s v="2024-10-08 06"/>
        <s v="2024-10-08 07"/>
        <s v="2024-10-08 08"/>
        <s v="2024-10-08 09"/>
        <s v="2024-10-08 10"/>
        <s v="2024-10-08 11"/>
        <s v="2024-10-08 12"/>
        <s v="2024-10-08 13"/>
        <s v="2024-10-08 14"/>
        <s v="2024-10-08 15"/>
        <s v="2024-10-08 16"/>
        <s v="2024-10-08 17"/>
        <s v="2024-10-08 18"/>
        <s v="2024-10-08 19"/>
        <s v="2024-10-08 20"/>
        <s v="2024-10-08 21"/>
        <s v="2024-10-08 22"/>
        <s v="2024-10-08 23"/>
        <s v="2024-10-09 00"/>
        <s v="2024-10-09 01"/>
        <s v="2024-10-09 02"/>
        <s v="2024-10-09 03"/>
        <s v="2024-10-09 04"/>
        <s v="2024-10-09 05"/>
        <s v="2024-10-09 06"/>
        <s v="2024-10-09 07"/>
        <s v="2024-10-09 08"/>
        <s v="2024-10-09 09"/>
        <s v="2024-10-09 10"/>
        <s v="2024-10-09 11"/>
        <s v="2024-10-09 12"/>
        <s v="2024-10-09 13"/>
        <s v="2024-10-09 14"/>
        <s v="2024-10-09 15"/>
        <s v="2024-10-09 16"/>
        <s v="2024-10-09 17"/>
        <s v="2024-10-09 18"/>
        <s v="2024-10-09 19"/>
        <s v="2024-10-09 20"/>
        <s v="2024-10-09 21"/>
        <s v="2024-10-09 22"/>
        <s v="2024-10-09 23"/>
        <s v="2024-10-10 00"/>
        <s v="2024-10-10 01"/>
        <s v="2024-10-10 02"/>
        <s v="2024-10-10 03"/>
        <s v="2024-10-10 04"/>
        <s v="2024-10-10 05"/>
        <s v="2024-10-10 06"/>
        <s v="2024-10-10 07"/>
        <s v="2024-10-10 08"/>
        <s v="2024-10-10 09"/>
        <s v="2024-10-10 10"/>
        <s v="2024-10-10 11"/>
        <s v="2024-10-10 12"/>
        <s v="2024-10-10 13"/>
        <s v="2024-10-10 14"/>
        <s v="2024-10-10 15"/>
        <s v="2024-10-10 16"/>
        <s v="2024-10-10 17"/>
        <s v="2024-10-10 18"/>
        <s v="2024-10-10 19"/>
        <s v="2024-10-10 20"/>
        <s v="2024-10-10 21"/>
        <s v="2024-10-10 22"/>
        <s v="2024-10-10 23"/>
        <s v="2024-10-11 00"/>
        <s v="2024-10-11 01"/>
        <s v="2024-10-11 02"/>
        <s v="2024-10-11 03"/>
        <s v="2024-10-11 04"/>
        <s v="2024-10-11 05"/>
        <s v="2024-10-11 06"/>
        <s v="2024-10-11 07"/>
        <s v="2024-10-11 08"/>
        <s v="2024-10-11 09"/>
        <s v="2024-10-11 10"/>
        <s v="2024-10-11 11"/>
        <s v="2024-10-11 12"/>
        <s v="2024-10-11 13"/>
        <s v="2024-10-11 14"/>
        <s v="2024-10-11 15"/>
        <s v="2024-10-11 16"/>
        <s v="2024-10-11 17"/>
        <s v="2024-10-11 18"/>
        <s v="2024-10-11 19"/>
        <s v="2024-10-11 20"/>
        <s v="2024-10-11 21"/>
        <s v="2024-10-11 22"/>
        <s v="2024-10-11 23"/>
        <s v="2024-10-14 00"/>
        <s v="2024-10-14 01"/>
        <s v="2024-10-14 02"/>
        <s v="2024-10-14 03"/>
        <s v="2024-10-14 04"/>
        <s v="2024-10-14 05"/>
        <s v="2024-10-14 06"/>
        <s v="2024-10-14 07"/>
        <s v="2024-10-14 08"/>
        <s v="2024-10-14 09"/>
        <s v="2024-10-14 10"/>
        <s v="2024-10-14 11"/>
        <s v="2024-10-14 12"/>
        <s v="2024-10-14 13"/>
        <s v="2024-10-14 14"/>
        <s v="2024-10-14 15"/>
        <s v="2024-10-14 16"/>
        <s v="2024-10-14 17"/>
        <s v="2024-10-14 18"/>
        <s v="2024-10-14 19"/>
        <s v="2024-10-14 20"/>
        <s v="2024-10-14 21"/>
        <s v="2024-10-14 22"/>
        <s v="2024-10-14 23"/>
        <s v="2024-10-15 00"/>
        <s v="2024-10-15 01"/>
        <s v="2024-10-15 02"/>
        <s v="2024-10-15 03"/>
        <s v="2024-10-15 04"/>
        <s v="2024-10-15 05"/>
        <s v="2024-10-15 06"/>
        <s v="2024-10-15 07"/>
        <s v="2024-10-15 08"/>
        <s v="2024-10-15 09"/>
        <s v="2024-10-15 10"/>
        <s v="2024-10-15 11"/>
        <s v="2024-10-15 12"/>
        <s v="2024-10-15 13"/>
        <s v="2024-10-15 14"/>
        <s v="2024-10-15 15"/>
        <s v="2024-10-15 16"/>
        <s v="2024-10-15 17"/>
        <s v="2024-10-15 18"/>
        <s v="2024-10-15 19"/>
        <s v="2024-10-15 20"/>
        <s v="2024-10-15 21"/>
        <s v="2024-10-15 22"/>
        <s v="2024-10-15 23"/>
        <s v="2024-10-16 00"/>
        <s v="2024-10-16 01"/>
        <s v="2024-10-16 02"/>
        <s v="2024-10-16 03"/>
        <s v="2024-10-16 04"/>
        <s v="2024-10-16 05"/>
        <s v="2024-10-16 06"/>
        <s v="2024-10-16 07"/>
        <s v="2024-10-16 08"/>
        <s v="2024-10-16 09"/>
        <s v="2024-10-16 10"/>
        <s v="2024-10-16 11"/>
        <s v="2024-10-16 12"/>
        <s v="2024-10-16 13"/>
        <s v="2024-10-16 14"/>
        <s v="2024-10-16 15"/>
        <s v="2024-10-16 16"/>
        <s v="2024-10-16 17"/>
        <s v="2024-10-16 18"/>
        <s v="2024-10-16 19"/>
        <s v="2024-10-16 20"/>
        <s v="2024-10-16 21"/>
        <s v="2024-10-16 22"/>
        <s v="2024-10-16 23"/>
        <s v="2024-10-17 00"/>
        <s v="2024-10-17 01"/>
        <s v="2024-10-17 02"/>
        <s v="2024-10-17 03"/>
        <s v="2024-10-17 04"/>
        <s v="2024-10-17 05"/>
        <s v="2024-10-17 06"/>
        <s v="2024-10-17 07"/>
        <s v="2024-10-17 08"/>
        <s v="2024-10-17 09"/>
        <s v="2024-10-17 10"/>
        <s v="2024-10-17 11"/>
        <s v="2024-10-17 12"/>
        <s v="2024-10-17 13"/>
        <s v="2024-10-17 14"/>
        <s v="2024-10-17 15"/>
        <s v="2024-10-17 16"/>
        <s v="2024-10-17 17"/>
        <s v="2024-10-17 18"/>
        <s v="2024-10-17 19"/>
        <s v="2024-10-17 20"/>
        <s v="2024-10-17 21"/>
        <s v="2024-10-17 22"/>
        <s v="2024-10-17 23"/>
        <s v="2024-10-18 00"/>
        <s v="2024-10-18 01"/>
        <s v="2024-10-18 02"/>
        <s v="2024-10-18 03"/>
        <s v="2024-10-18 04"/>
        <s v="2024-10-18 05"/>
        <s v="2024-10-18 06"/>
        <s v="2024-10-18 07"/>
        <s v="2024-10-18 08"/>
        <s v="2024-10-18 09"/>
        <s v="2024-10-18 10"/>
        <s v="2024-10-18 11"/>
        <s v="2024-10-18 12"/>
        <s v="2024-10-18 13"/>
        <s v="2024-10-18 14"/>
        <s v="2024-10-18 15"/>
        <s v="2024-10-18 16"/>
        <s v="2024-10-18 17"/>
        <s v="2024-10-18 18"/>
        <s v="2024-10-18 19"/>
        <s v="2024-10-18 20"/>
        <s v="2024-10-18 21"/>
        <s v="2024-10-18 22"/>
        <s v="2024-10-18 23"/>
        <s v="2024-10-21 00"/>
        <s v="2024-10-21 01"/>
        <s v="2024-10-21 02"/>
        <s v="2024-10-21 03"/>
        <s v="2024-10-21 04"/>
        <s v="2024-10-21 05"/>
        <s v="2024-10-21 06"/>
        <s v="2024-10-21 07"/>
        <s v="2024-10-21 08"/>
        <s v="2024-10-21 09"/>
        <s v="2024-10-21 10"/>
        <s v="2024-10-21 11"/>
        <s v="2024-10-21 12"/>
        <s v="2024-10-21 13"/>
        <s v="2024-10-21 14"/>
        <s v="2024-10-21 15"/>
        <s v="2024-10-21 16"/>
        <s v="2024-10-21 17"/>
        <s v="2024-10-21 18"/>
        <s v="2024-10-21 19"/>
        <s v="2024-10-21 20"/>
        <s v="2024-10-21 21"/>
        <s v="2024-10-21 22"/>
        <s v="2024-10-21 23"/>
        <s v="2024-10-22 00"/>
        <s v="2024-10-22 01"/>
        <s v="2024-10-22 02"/>
        <s v="2024-10-22 03"/>
        <s v="2024-10-22 04"/>
        <s v="2024-10-22 05"/>
        <s v="2024-10-22 06"/>
        <s v="2024-10-22 07"/>
        <s v="2024-10-22 08"/>
        <s v="2024-10-22 09"/>
        <s v="2024-10-22 10"/>
        <s v="2024-10-22 11"/>
        <s v="2024-10-22 12"/>
        <s v="2024-10-22 13"/>
        <s v="2024-10-22 14"/>
        <s v="2024-10-22 15"/>
        <s v="2024-10-22 16"/>
        <s v="2024-10-22 17"/>
        <s v="2024-10-22 18"/>
        <s v="2024-10-22 19"/>
        <s v="2024-10-22 20"/>
        <s v="2024-10-22 21"/>
        <s v="2024-10-22 22"/>
        <s v="2024-10-22 23"/>
        <s v="2024-10-23 00"/>
        <s v="2024-10-23 01"/>
        <s v="2024-10-23 02"/>
        <s v="2024-10-23 03"/>
        <s v="2024-10-23 04"/>
        <s v="2024-10-23 05"/>
        <s v="2024-10-23 06"/>
        <s v="2024-10-23 07"/>
        <s v="2024-10-23 08"/>
        <s v="2024-10-23 09"/>
        <s v="2024-10-23 10"/>
        <s v="2024-10-23 11"/>
        <s v="2024-10-23 12"/>
        <s v="2024-10-23 13"/>
        <s v="2024-10-23 14"/>
        <s v="2024-10-23 15"/>
        <s v="2024-10-23 16"/>
        <s v="2024-10-23 17"/>
        <s v="2024-10-23 18"/>
        <s v="2024-10-23 19"/>
        <s v="2024-10-23 20"/>
        <s v="2024-10-23 21"/>
        <s v="2024-10-23 22"/>
        <s v="2024-10-23 23"/>
        <s v="2024-10-24 00"/>
        <s v="2024-10-24 01"/>
        <s v="2024-10-24 02"/>
        <s v="2024-10-24 03"/>
        <s v="2024-10-24 04"/>
        <s v="2024-10-24 05"/>
        <s v="2024-10-24 06"/>
        <s v="2024-10-24 07"/>
        <s v="2024-10-24 08"/>
        <s v="2024-10-24 09"/>
        <s v="2024-10-24 10"/>
        <s v="2024-10-24 11"/>
        <s v="2024-10-24 12"/>
        <s v="2024-10-24 13"/>
        <s v="2024-10-24 14"/>
        <s v="2024-10-24 15"/>
        <s v="2024-10-24 16"/>
        <s v="2024-10-24 17"/>
        <s v="2024-10-24 18"/>
        <s v="2024-10-24 19"/>
        <s v="2024-10-24 20"/>
        <s v="2024-10-24 21"/>
        <s v="2024-10-24 22"/>
        <s v="2024-10-24 23"/>
        <s v="2024-10-25 00"/>
        <s v="2024-10-25 01"/>
        <s v="2024-10-25 02"/>
        <s v="2024-10-25 03"/>
        <s v="2024-10-25 04"/>
        <s v="2024-10-25 05"/>
        <s v="2024-10-25 06"/>
        <s v="2024-10-25 07"/>
        <s v="2024-10-25 08"/>
        <s v="2024-10-25 09"/>
        <s v="2024-10-25 10"/>
        <s v="2024-10-25 11"/>
        <s v="2024-10-25 12"/>
        <s v="2024-10-25 13"/>
        <s v="2024-10-25 14"/>
        <s v="2024-10-25 15"/>
        <s v="2024-10-25 16"/>
        <s v="2024-10-25 17"/>
        <s v="2024-10-25 18"/>
        <s v="2024-10-25 19"/>
        <s v="2024-10-25 20"/>
        <s v="2024-10-25 21"/>
        <s v="2024-10-25 22"/>
        <s v="2024-10-25 23"/>
        <s v="2024-10-28 00"/>
        <s v="2024-10-28 01"/>
        <s v="2024-10-28 02"/>
        <s v="2024-10-28 03"/>
        <s v="2024-10-28 04"/>
        <s v="2024-10-28 05"/>
        <s v="2024-10-28 06"/>
        <s v="2024-10-28 07"/>
        <s v="2024-10-28 08"/>
        <s v="2024-10-28 09"/>
        <s v="2024-10-28 10"/>
        <s v="2024-10-28 11"/>
        <s v="2024-10-28 12"/>
        <s v="2024-10-28 13"/>
        <s v="2024-10-28 14"/>
        <s v="2024-10-28 15"/>
        <s v="2024-10-28 16"/>
        <s v="2024-10-28 17"/>
        <s v="2024-10-28 18"/>
        <s v="2024-10-28 19"/>
        <s v="2024-10-28 20"/>
        <s v="2024-10-28 21"/>
        <s v="2024-10-28 22"/>
        <s v="2024-10-28 23"/>
        <s v="2024-10-29 00"/>
        <s v="2024-10-29 01"/>
        <s v="2024-10-29 02"/>
        <s v="2024-10-29 03"/>
        <s v="2024-10-29 04"/>
        <s v="2024-10-29 05"/>
        <s v="2024-10-29 06"/>
        <s v="2024-10-29 07"/>
        <s v="2024-10-29 08"/>
        <s v="2024-10-29 09"/>
        <s v="2024-10-29 10"/>
        <s v="2024-10-29 11"/>
        <s v="2024-10-29 12"/>
        <s v="2024-10-29 13"/>
        <s v="2024-10-29 14"/>
        <s v="2024-10-29 15"/>
        <s v="2024-10-29 16"/>
        <s v="2024-10-29 17"/>
        <s v="2024-10-29 18"/>
        <s v="2024-10-29 19"/>
        <s v="2024-10-29 20"/>
        <s v="2024-10-29 21"/>
        <s v="2024-10-29 22"/>
        <s v="2024-10-29 23"/>
        <s v="2024-10-30 00"/>
        <s v="2024-10-30 01"/>
        <s v="2024-10-30 02"/>
        <s v="2024-10-30 03"/>
        <s v="2024-10-30 04"/>
        <s v="2024-10-30 05"/>
        <s v="2024-10-30 06"/>
        <s v="2024-10-30 07"/>
        <s v="2024-10-30 08"/>
        <s v="2024-10-30 09"/>
        <s v="2024-10-30 10"/>
        <s v="2024-10-30 11"/>
        <s v="2024-10-30 12"/>
        <s v="2024-10-30 13"/>
        <s v="2024-10-30 14"/>
        <s v="2024-10-30 15"/>
        <s v="2024-10-30 16"/>
        <s v="2024-10-30 17"/>
        <s v="2024-10-30 18"/>
        <s v="2024-10-30 19"/>
        <s v="2024-10-30 20"/>
        <s v="2024-10-30 21"/>
        <s v="2024-10-30 22"/>
        <s v="2024-10-30 23"/>
        <s v="2024-10-31 00"/>
        <s v="2024-10-31 01"/>
        <s v="2024-10-31 02"/>
        <s v="2024-10-31 03"/>
        <s v="2024-10-31 04"/>
        <s v="2024-10-31 05"/>
        <s v="2024-10-31 06"/>
        <s v="2024-10-31 07"/>
        <s v="2024-10-31 08"/>
        <s v="2024-10-31 09"/>
        <s v="2024-10-31 10"/>
        <s v="2024-10-31 11"/>
        <s v="2024-10-31 12"/>
        <s v="2024-10-31 13"/>
        <s v="2024-10-31 14"/>
        <s v="2024-10-31 15"/>
        <s v="2024-10-31 16"/>
        <s v="2024-10-31 17"/>
        <s v="2024-10-31 18"/>
        <s v="2024-10-31 19"/>
        <s v="2024-10-31 20"/>
        <s v="2024-10-31 21"/>
        <s v="2024-10-31 22"/>
        <s v="2024-10-31 23"/>
      </sharedItems>
    </cacheField>
    <cacheField name="Время" numFmtId="181">
      <sharedItems containsSemiMixedTypes="0" containsString="0" containsNonDate="0" containsDate="1" minDate="1899-12-30T00:00:00" maxDate="1899-12-30T23:00:00" count="24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</sharedItems>
    </cacheField>
    <cacheField name="Транзакция" numFmtId="0">
      <sharedItems count="10">
        <s v="PutIssue"/>
        <s v="MoveIssue"/>
        <s v="RenameIssue"/>
        <s v="CloseIssue"/>
        <s v="GetIssue"/>
        <s v="InspectIssue"/>
        <s v="UpdateIssue"/>
        <s v="DeleteIssue"/>
        <s v="CreateIssue"/>
        <s v="SaveIssue"/>
      </sharedItems>
    </cacheField>
    <cacheField name="Кол-во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009.5672355324" refreshedBy="broke" recordCount="23">
  <cacheSource type="worksheet">
    <worksheetSource ref="A1:C24" sheet="Таблица_операций_в_ЧПН"/>
  </cacheSource>
  <cacheFields count="3">
    <cacheField name="Дата" numFmtId="0"/>
    <cacheField name="Транзакция" numFmtId="0">
      <sharedItems count="9">
        <s v="DeleteIssue"/>
        <s v="MoveIssue"/>
        <s v="UpdateIssue"/>
        <s v="CreateIssue"/>
        <s v="RenameIssue"/>
        <s v="PutIssue"/>
        <s v="GetIssue"/>
        <s v="CloseIssue"/>
        <s v="SaveIssue"/>
      </sharedItems>
    </cacheField>
    <cacheField name="Кол-во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x v="0"/>
    <x v="0"/>
    <x v="0"/>
    <n v="156"/>
  </r>
  <r>
    <x v="1"/>
    <x v="1"/>
    <x v="1"/>
    <n v="237"/>
  </r>
  <r>
    <x v="2"/>
    <x v="2"/>
    <x v="2"/>
    <n v="191"/>
  </r>
  <r>
    <x v="3"/>
    <x v="3"/>
    <x v="3"/>
    <n v="296"/>
  </r>
  <r>
    <x v="4"/>
    <x v="4"/>
    <x v="4"/>
    <n v="42"/>
  </r>
  <r>
    <x v="5"/>
    <x v="5"/>
    <x v="5"/>
    <n v="64"/>
  </r>
  <r>
    <x v="6"/>
    <x v="6"/>
    <x v="6"/>
    <n v="639"/>
  </r>
  <r>
    <x v="7"/>
    <x v="7"/>
    <x v="7"/>
    <n v="472"/>
  </r>
  <r>
    <x v="8"/>
    <x v="8"/>
    <x v="8"/>
    <n v="422"/>
  </r>
  <r>
    <x v="9"/>
    <x v="9"/>
    <x v="9"/>
    <n v="319"/>
  </r>
  <r>
    <x v="10"/>
    <x v="10"/>
    <x v="0"/>
    <n v="102"/>
  </r>
  <r>
    <x v="11"/>
    <x v="11"/>
    <x v="1"/>
    <n v="580"/>
  </r>
  <r>
    <x v="12"/>
    <x v="12"/>
    <x v="2"/>
    <n v="215"/>
  </r>
  <r>
    <x v="13"/>
    <x v="13"/>
    <x v="3"/>
    <n v="375"/>
  </r>
  <r>
    <x v="14"/>
    <x v="14"/>
    <x v="4"/>
    <n v="21"/>
  </r>
  <r>
    <x v="15"/>
    <x v="15"/>
    <x v="5"/>
    <n v="92"/>
  </r>
  <r>
    <x v="16"/>
    <x v="16"/>
    <x v="6"/>
    <n v="529"/>
  </r>
  <r>
    <x v="17"/>
    <x v="17"/>
    <x v="7"/>
    <n v="582"/>
  </r>
  <r>
    <x v="18"/>
    <x v="18"/>
    <x v="8"/>
    <n v="621"/>
  </r>
  <r>
    <x v="19"/>
    <x v="19"/>
    <x v="9"/>
    <n v="166"/>
  </r>
  <r>
    <x v="20"/>
    <x v="20"/>
    <x v="0"/>
    <n v="29"/>
  </r>
  <r>
    <x v="21"/>
    <x v="21"/>
    <x v="1"/>
    <n v="610"/>
  </r>
  <r>
    <x v="22"/>
    <x v="22"/>
    <x v="2"/>
    <n v="458"/>
  </r>
  <r>
    <x v="23"/>
    <x v="23"/>
    <x v="3"/>
    <n v="603"/>
  </r>
  <r>
    <x v="24"/>
    <x v="0"/>
    <x v="4"/>
    <n v="598"/>
  </r>
  <r>
    <x v="25"/>
    <x v="1"/>
    <x v="5"/>
    <n v="211"/>
  </r>
  <r>
    <x v="26"/>
    <x v="2"/>
    <x v="6"/>
    <n v="101"/>
  </r>
  <r>
    <x v="27"/>
    <x v="3"/>
    <x v="7"/>
    <n v="146"/>
  </r>
  <r>
    <x v="28"/>
    <x v="4"/>
    <x v="8"/>
    <n v="138"/>
  </r>
  <r>
    <x v="29"/>
    <x v="5"/>
    <x v="9"/>
    <n v="304"/>
  </r>
  <r>
    <x v="30"/>
    <x v="6"/>
    <x v="0"/>
    <n v="150"/>
  </r>
  <r>
    <x v="31"/>
    <x v="7"/>
    <x v="1"/>
    <n v="545"/>
  </r>
  <r>
    <x v="32"/>
    <x v="8"/>
    <x v="2"/>
    <n v="506"/>
  </r>
  <r>
    <x v="33"/>
    <x v="9"/>
    <x v="3"/>
    <n v="219"/>
  </r>
  <r>
    <x v="34"/>
    <x v="10"/>
    <x v="4"/>
    <n v="91"/>
  </r>
  <r>
    <x v="35"/>
    <x v="11"/>
    <x v="5"/>
    <n v="55"/>
  </r>
  <r>
    <x v="36"/>
    <x v="12"/>
    <x v="6"/>
    <n v="403"/>
  </r>
  <r>
    <x v="37"/>
    <x v="13"/>
    <x v="7"/>
    <n v="516"/>
  </r>
  <r>
    <x v="38"/>
    <x v="14"/>
    <x v="8"/>
    <n v="284"/>
  </r>
  <r>
    <x v="39"/>
    <x v="15"/>
    <x v="9"/>
    <n v="287"/>
  </r>
  <r>
    <x v="40"/>
    <x v="16"/>
    <x v="0"/>
    <n v="257"/>
  </r>
  <r>
    <x v="41"/>
    <x v="17"/>
    <x v="1"/>
    <n v="444"/>
  </r>
  <r>
    <x v="42"/>
    <x v="18"/>
    <x v="2"/>
    <n v="410"/>
  </r>
  <r>
    <x v="43"/>
    <x v="19"/>
    <x v="3"/>
    <n v="617"/>
  </r>
  <r>
    <x v="44"/>
    <x v="20"/>
    <x v="4"/>
    <n v="611"/>
  </r>
  <r>
    <x v="45"/>
    <x v="21"/>
    <x v="5"/>
    <n v="240"/>
  </r>
  <r>
    <x v="46"/>
    <x v="22"/>
    <x v="6"/>
    <n v="129"/>
  </r>
  <r>
    <x v="47"/>
    <x v="23"/>
    <x v="7"/>
    <n v="504"/>
  </r>
  <r>
    <x v="48"/>
    <x v="0"/>
    <x v="8"/>
    <n v="409"/>
  </r>
  <r>
    <x v="49"/>
    <x v="1"/>
    <x v="0"/>
    <n v="333"/>
  </r>
  <r>
    <x v="50"/>
    <x v="2"/>
    <x v="1"/>
    <n v="186"/>
  </r>
  <r>
    <x v="51"/>
    <x v="3"/>
    <x v="2"/>
    <n v="354"/>
  </r>
  <r>
    <x v="52"/>
    <x v="4"/>
    <x v="3"/>
    <n v="470"/>
  </r>
  <r>
    <x v="53"/>
    <x v="5"/>
    <x v="4"/>
    <n v="175"/>
  </r>
  <r>
    <x v="54"/>
    <x v="6"/>
    <x v="5"/>
    <n v="290"/>
  </r>
  <r>
    <x v="55"/>
    <x v="7"/>
    <x v="6"/>
    <n v="174"/>
  </r>
  <r>
    <x v="56"/>
    <x v="8"/>
    <x v="7"/>
    <n v="76"/>
  </r>
  <r>
    <x v="57"/>
    <x v="9"/>
    <x v="8"/>
    <n v="162"/>
  </r>
  <r>
    <x v="58"/>
    <x v="10"/>
    <x v="9"/>
    <n v="182"/>
  </r>
  <r>
    <x v="59"/>
    <x v="11"/>
    <x v="0"/>
    <n v="248"/>
  </r>
  <r>
    <x v="60"/>
    <x v="12"/>
    <x v="1"/>
    <n v="423"/>
  </r>
  <r>
    <x v="61"/>
    <x v="13"/>
    <x v="2"/>
    <n v="178"/>
  </r>
  <r>
    <x v="62"/>
    <x v="14"/>
    <x v="3"/>
    <n v="550"/>
  </r>
  <r>
    <x v="63"/>
    <x v="15"/>
    <x v="4"/>
    <n v="474"/>
  </r>
  <r>
    <x v="64"/>
    <x v="16"/>
    <x v="5"/>
    <n v="575"/>
  </r>
  <r>
    <x v="65"/>
    <x v="17"/>
    <x v="6"/>
    <n v="385"/>
  </r>
  <r>
    <x v="66"/>
    <x v="18"/>
    <x v="7"/>
    <n v="238"/>
  </r>
  <r>
    <x v="67"/>
    <x v="19"/>
    <x v="8"/>
    <n v="326"/>
  </r>
  <r>
    <x v="68"/>
    <x v="20"/>
    <x v="9"/>
    <n v="246"/>
  </r>
  <r>
    <x v="69"/>
    <x v="21"/>
    <x v="0"/>
    <n v="344"/>
  </r>
  <r>
    <x v="70"/>
    <x v="22"/>
    <x v="1"/>
    <n v="594"/>
  </r>
  <r>
    <x v="71"/>
    <x v="23"/>
    <x v="2"/>
    <n v="856"/>
  </r>
  <r>
    <x v="72"/>
    <x v="0"/>
    <x v="9"/>
    <n v="503"/>
  </r>
  <r>
    <x v="73"/>
    <x v="1"/>
    <x v="0"/>
    <n v="62"/>
  </r>
  <r>
    <x v="74"/>
    <x v="2"/>
    <x v="1"/>
    <n v="41"/>
  </r>
  <r>
    <x v="75"/>
    <x v="3"/>
    <x v="2"/>
    <n v="635"/>
  </r>
  <r>
    <x v="76"/>
    <x v="4"/>
    <x v="3"/>
    <n v="6"/>
  </r>
  <r>
    <x v="77"/>
    <x v="5"/>
    <x v="4"/>
    <n v="23"/>
  </r>
  <r>
    <x v="78"/>
    <x v="6"/>
    <x v="5"/>
    <n v="271"/>
  </r>
  <r>
    <x v="79"/>
    <x v="7"/>
    <x v="6"/>
    <n v="96"/>
  </r>
  <r>
    <x v="80"/>
    <x v="8"/>
    <x v="7"/>
    <n v="307"/>
  </r>
  <r>
    <x v="81"/>
    <x v="9"/>
    <x v="8"/>
    <n v="349"/>
  </r>
  <r>
    <x v="82"/>
    <x v="10"/>
    <x v="9"/>
    <n v="97"/>
  </r>
  <r>
    <x v="83"/>
    <x v="11"/>
    <x v="0"/>
    <n v="274"/>
  </r>
  <r>
    <x v="84"/>
    <x v="12"/>
    <x v="1"/>
    <n v="4"/>
  </r>
  <r>
    <x v="85"/>
    <x v="13"/>
    <x v="2"/>
    <n v="60"/>
  </r>
  <r>
    <x v="86"/>
    <x v="14"/>
    <x v="3"/>
    <n v="568"/>
  </r>
  <r>
    <x v="87"/>
    <x v="15"/>
    <x v="4"/>
    <n v="396"/>
  </r>
  <r>
    <x v="88"/>
    <x v="16"/>
    <x v="5"/>
    <n v="158"/>
  </r>
  <r>
    <x v="89"/>
    <x v="17"/>
    <x v="6"/>
    <n v="608"/>
  </r>
  <r>
    <x v="90"/>
    <x v="18"/>
    <x v="7"/>
    <n v="493"/>
  </r>
  <r>
    <x v="91"/>
    <x v="19"/>
    <x v="8"/>
    <n v="98"/>
  </r>
  <r>
    <x v="92"/>
    <x v="20"/>
    <x v="9"/>
    <n v="333"/>
  </r>
  <r>
    <x v="93"/>
    <x v="21"/>
    <x v="0"/>
    <n v="186"/>
  </r>
  <r>
    <x v="94"/>
    <x v="22"/>
    <x v="1"/>
    <n v="354"/>
  </r>
  <r>
    <x v="95"/>
    <x v="23"/>
    <x v="2"/>
    <n v="470"/>
  </r>
  <r>
    <x v="96"/>
    <x v="0"/>
    <x v="1"/>
    <n v="434"/>
  </r>
  <r>
    <x v="97"/>
    <x v="1"/>
    <x v="2"/>
    <n v="169"/>
  </r>
  <r>
    <x v="98"/>
    <x v="2"/>
    <x v="3"/>
    <n v="356"/>
  </r>
  <r>
    <x v="99"/>
    <x v="3"/>
    <x v="4"/>
    <n v="245"/>
  </r>
  <r>
    <x v="100"/>
    <x v="4"/>
    <x v="5"/>
    <n v="596"/>
  </r>
  <r>
    <x v="101"/>
    <x v="5"/>
    <x v="6"/>
    <n v="309"/>
  </r>
  <r>
    <x v="102"/>
    <x v="6"/>
    <x v="7"/>
    <n v="475"/>
  </r>
  <r>
    <x v="103"/>
    <x v="7"/>
    <x v="8"/>
    <n v="361"/>
  </r>
  <r>
    <x v="104"/>
    <x v="8"/>
    <x v="9"/>
    <n v="563"/>
  </r>
  <r>
    <x v="105"/>
    <x v="9"/>
    <x v="0"/>
    <n v="527"/>
  </r>
  <r>
    <x v="106"/>
    <x v="10"/>
    <x v="1"/>
    <n v="584"/>
  </r>
  <r>
    <x v="107"/>
    <x v="11"/>
    <x v="2"/>
    <n v="58"/>
  </r>
  <r>
    <x v="108"/>
    <x v="12"/>
    <x v="3"/>
    <n v="536"/>
  </r>
  <r>
    <x v="109"/>
    <x v="13"/>
    <x v="4"/>
    <n v="622"/>
  </r>
  <r>
    <x v="110"/>
    <x v="14"/>
    <x v="5"/>
    <n v="501"/>
  </r>
  <r>
    <x v="111"/>
    <x v="15"/>
    <x v="6"/>
    <n v="293"/>
  </r>
  <r>
    <x v="112"/>
    <x v="16"/>
    <x v="7"/>
    <n v="252"/>
  </r>
  <r>
    <x v="113"/>
    <x v="17"/>
    <x v="8"/>
    <n v="256"/>
  </r>
  <r>
    <x v="114"/>
    <x v="18"/>
    <x v="9"/>
    <n v="20"/>
  </r>
  <r>
    <x v="115"/>
    <x v="19"/>
    <x v="0"/>
    <n v="209"/>
  </r>
  <r>
    <x v="116"/>
    <x v="20"/>
    <x v="1"/>
    <n v="417"/>
  </r>
  <r>
    <x v="117"/>
    <x v="21"/>
    <x v="2"/>
    <n v="374"/>
  </r>
  <r>
    <x v="118"/>
    <x v="22"/>
    <x v="3"/>
    <n v="389"/>
  </r>
  <r>
    <x v="119"/>
    <x v="23"/>
    <x v="4"/>
    <n v="262"/>
  </r>
  <r>
    <x v="120"/>
    <x v="0"/>
    <x v="5"/>
    <n v="399"/>
  </r>
  <r>
    <x v="121"/>
    <x v="1"/>
    <x v="6"/>
    <n v="539"/>
  </r>
  <r>
    <x v="122"/>
    <x v="2"/>
    <x v="7"/>
    <n v="534"/>
  </r>
  <r>
    <x v="123"/>
    <x v="3"/>
    <x v="8"/>
    <n v="230"/>
  </r>
  <r>
    <x v="124"/>
    <x v="4"/>
    <x v="9"/>
    <n v="438"/>
  </r>
  <r>
    <x v="125"/>
    <x v="5"/>
    <x v="0"/>
    <n v="515"/>
  </r>
  <r>
    <x v="126"/>
    <x v="6"/>
    <x v="1"/>
    <n v="118"/>
  </r>
  <r>
    <x v="127"/>
    <x v="7"/>
    <x v="2"/>
    <n v="555"/>
  </r>
  <r>
    <x v="128"/>
    <x v="8"/>
    <x v="3"/>
    <n v="79"/>
  </r>
  <r>
    <x v="129"/>
    <x v="9"/>
    <x v="4"/>
    <n v="68"/>
  </r>
  <r>
    <x v="130"/>
    <x v="10"/>
    <x v="5"/>
    <n v="513"/>
  </r>
  <r>
    <x v="131"/>
    <x v="11"/>
    <x v="6"/>
    <n v="46"/>
  </r>
  <r>
    <x v="132"/>
    <x v="12"/>
    <x v="7"/>
    <n v="465"/>
  </r>
  <r>
    <x v="133"/>
    <x v="13"/>
    <x v="8"/>
    <n v="235"/>
  </r>
  <r>
    <x v="134"/>
    <x v="14"/>
    <x v="9"/>
    <n v="384"/>
  </r>
  <r>
    <x v="135"/>
    <x v="15"/>
    <x v="0"/>
    <n v="164"/>
  </r>
  <r>
    <x v="136"/>
    <x v="16"/>
    <x v="1"/>
    <n v="216"/>
  </r>
  <r>
    <x v="137"/>
    <x v="17"/>
    <x v="2"/>
    <n v="426"/>
  </r>
  <r>
    <x v="138"/>
    <x v="18"/>
    <x v="3"/>
    <n v="502"/>
  </r>
  <r>
    <x v="139"/>
    <x v="19"/>
    <x v="4"/>
    <n v="149"/>
  </r>
  <r>
    <x v="140"/>
    <x v="20"/>
    <x v="5"/>
    <n v="425"/>
  </r>
  <r>
    <x v="141"/>
    <x v="21"/>
    <x v="6"/>
    <n v="462"/>
  </r>
  <r>
    <x v="142"/>
    <x v="22"/>
    <x v="7"/>
    <n v="196"/>
  </r>
  <r>
    <x v="143"/>
    <x v="23"/>
    <x v="8"/>
    <n v="88"/>
  </r>
  <r>
    <x v="144"/>
    <x v="0"/>
    <x v="9"/>
    <n v="188"/>
  </r>
  <r>
    <x v="145"/>
    <x v="1"/>
    <x v="0"/>
    <n v="590"/>
  </r>
  <r>
    <x v="146"/>
    <x v="2"/>
    <x v="1"/>
    <n v="355"/>
  </r>
  <r>
    <x v="147"/>
    <x v="3"/>
    <x v="2"/>
    <n v="218"/>
  </r>
  <r>
    <x v="148"/>
    <x v="4"/>
    <x v="3"/>
    <n v="619"/>
  </r>
  <r>
    <x v="149"/>
    <x v="5"/>
    <x v="4"/>
    <n v="28"/>
  </r>
  <r>
    <x v="150"/>
    <x v="6"/>
    <x v="5"/>
    <n v="538"/>
  </r>
  <r>
    <x v="151"/>
    <x v="7"/>
    <x v="6"/>
    <n v="407"/>
  </r>
  <r>
    <x v="152"/>
    <x v="8"/>
    <x v="7"/>
    <n v="553"/>
  </r>
  <r>
    <x v="153"/>
    <x v="9"/>
    <x v="8"/>
    <n v="561"/>
  </r>
  <r>
    <x v="154"/>
    <x v="10"/>
    <x v="9"/>
    <n v="139"/>
  </r>
  <r>
    <x v="155"/>
    <x v="11"/>
    <x v="0"/>
    <n v="128"/>
  </r>
  <r>
    <x v="156"/>
    <x v="12"/>
    <x v="1"/>
    <n v="436"/>
  </r>
  <r>
    <x v="157"/>
    <x v="13"/>
    <x v="2"/>
    <n v="179"/>
  </r>
  <r>
    <x v="158"/>
    <x v="14"/>
    <x v="3"/>
    <n v="433"/>
  </r>
  <r>
    <x v="159"/>
    <x v="15"/>
    <x v="4"/>
    <n v="331"/>
  </r>
  <r>
    <x v="160"/>
    <x v="16"/>
    <x v="5"/>
    <n v="322"/>
  </r>
  <r>
    <x v="161"/>
    <x v="17"/>
    <x v="6"/>
    <n v="77"/>
  </r>
  <r>
    <x v="162"/>
    <x v="18"/>
    <x v="7"/>
    <n v="263"/>
  </r>
  <r>
    <x v="163"/>
    <x v="19"/>
    <x v="8"/>
    <n v="86"/>
  </r>
  <r>
    <x v="164"/>
    <x v="20"/>
    <x v="9"/>
    <n v="526"/>
  </r>
  <r>
    <x v="165"/>
    <x v="21"/>
    <x v="0"/>
    <n v="587"/>
  </r>
  <r>
    <x v="166"/>
    <x v="22"/>
    <x v="1"/>
    <n v="9"/>
  </r>
  <r>
    <x v="167"/>
    <x v="23"/>
    <x v="2"/>
    <n v="124"/>
  </r>
  <r>
    <x v="168"/>
    <x v="0"/>
    <x v="3"/>
    <n v="572"/>
  </r>
  <r>
    <x v="169"/>
    <x v="1"/>
    <x v="4"/>
    <n v="80"/>
  </r>
  <r>
    <x v="170"/>
    <x v="2"/>
    <x v="5"/>
    <n v="170"/>
  </r>
  <r>
    <x v="171"/>
    <x v="3"/>
    <x v="6"/>
    <n v="599"/>
  </r>
  <r>
    <x v="172"/>
    <x v="4"/>
    <x v="7"/>
    <n v="85"/>
  </r>
  <r>
    <x v="173"/>
    <x v="5"/>
    <x v="8"/>
    <n v="556"/>
  </r>
  <r>
    <x v="174"/>
    <x v="6"/>
    <x v="9"/>
    <n v="463"/>
  </r>
  <r>
    <x v="175"/>
    <x v="7"/>
    <x v="0"/>
    <n v="588"/>
  </r>
  <r>
    <x v="176"/>
    <x v="8"/>
    <x v="1"/>
    <n v="316"/>
  </r>
  <r>
    <x v="177"/>
    <x v="9"/>
    <x v="2"/>
    <n v="483"/>
  </r>
  <r>
    <x v="178"/>
    <x v="10"/>
    <x v="3"/>
    <n v="336"/>
  </r>
  <r>
    <x v="179"/>
    <x v="11"/>
    <x v="4"/>
    <n v="402"/>
  </r>
  <r>
    <x v="180"/>
    <x v="12"/>
    <x v="5"/>
    <n v="523"/>
  </r>
  <r>
    <x v="181"/>
    <x v="13"/>
    <x v="6"/>
    <n v="589"/>
  </r>
  <r>
    <x v="182"/>
    <x v="14"/>
    <x v="7"/>
    <n v="24"/>
  </r>
  <r>
    <x v="183"/>
    <x v="15"/>
    <x v="8"/>
    <n v="380"/>
  </r>
  <r>
    <x v="184"/>
    <x v="16"/>
    <x v="9"/>
    <n v="573"/>
  </r>
  <r>
    <x v="185"/>
    <x v="17"/>
    <x v="0"/>
    <n v="533"/>
  </r>
  <r>
    <x v="186"/>
    <x v="18"/>
    <x v="1"/>
    <n v="120"/>
  </r>
  <r>
    <x v="187"/>
    <x v="19"/>
    <x v="2"/>
    <n v="574"/>
  </r>
  <r>
    <x v="188"/>
    <x v="20"/>
    <x v="3"/>
    <n v="312"/>
  </r>
  <r>
    <x v="189"/>
    <x v="21"/>
    <x v="4"/>
    <n v="510"/>
  </r>
  <r>
    <x v="190"/>
    <x v="22"/>
    <x v="5"/>
    <n v="408"/>
  </r>
  <r>
    <x v="191"/>
    <x v="23"/>
    <x v="6"/>
    <n v="155"/>
  </r>
  <r>
    <x v="192"/>
    <x v="0"/>
    <x v="7"/>
    <n v="390"/>
  </r>
  <r>
    <x v="193"/>
    <x v="1"/>
    <x v="8"/>
    <n v="251"/>
  </r>
  <r>
    <x v="194"/>
    <x v="2"/>
    <x v="9"/>
    <n v="401"/>
  </r>
  <r>
    <x v="195"/>
    <x v="3"/>
    <x v="0"/>
    <n v="5"/>
  </r>
  <r>
    <x v="196"/>
    <x v="4"/>
    <x v="1"/>
    <n v="53"/>
  </r>
  <r>
    <x v="197"/>
    <x v="5"/>
    <x v="2"/>
    <n v="121"/>
  </r>
  <r>
    <x v="198"/>
    <x v="6"/>
    <x v="3"/>
    <n v="431"/>
  </r>
  <r>
    <x v="199"/>
    <x v="7"/>
    <x v="4"/>
    <n v="199"/>
  </r>
  <r>
    <x v="200"/>
    <x v="8"/>
    <x v="5"/>
    <n v="89"/>
  </r>
  <r>
    <x v="201"/>
    <x v="9"/>
    <x v="6"/>
    <n v="292"/>
  </r>
  <r>
    <x v="202"/>
    <x v="10"/>
    <x v="7"/>
    <n v="508"/>
  </r>
  <r>
    <x v="203"/>
    <x v="11"/>
    <x v="8"/>
    <n v="275"/>
  </r>
  <r>
    <x v="204"/>
    <x v="12"/>
    <x v="9"/>
    <n v="520"/>
  </r>
  <r>
    <x v="205"/>
    <x v="13"/>
    <x v="0"/>
    <n v="378"/>
  </r>
  <r>
    <x v="206"/>
    <x v="14"/>
    <x v="1"/>
    <n v="624"/>
  </r>
  <r>
    <x v="207"/>
    <x v="15"/>
    <x v="2"/>
    <n v="73"/>
  </r>
  <r>
    <x v="208"/>
    <x v="16"/>
    <x v="3"/>
    <n v="569"/>
  </r>
  <r>
    <x v="209"/>
    <x v="17"/>
    <x v="4"/>
    <n v="634"/>
  </r>
  <r>
    <x v="210"/>
    <x v="18"/>
    <x v="5"/>
    <n v="27"/>
  </r>
  <r>
    <x v="211"/>
    <x v="19"/>
    <x v="6"/>
    <n v="642"/>
  </r>
  <r>
    <x v="212"/>
    <x v="20"/>
    <x v="7"/>
    <n v="201"/>
  </r>
  <r>
    <x v="213"/>
    <x v="21"/>
    <x v="8"/>
    <n v="266"/>
  </r>
  <r>
    <x v="214"/>
    <x v="22"/>
    <x v="9"/>
    <n v="512"/>
  </r>
  <r>
    <x v="215"/>
    <x v="23"/>
    <x v="0"/>
    <n v="154"/>
  </r>
  <r>
    <x v="216"/>
    <x v="0"/>
    <x v="9"/>
    <n v="394"/>
  </r>
  <r>
    <x v="217"/>
    <x v="1"/>
    <x v="0"/>
    <n v="566"/>
  </r>
  <r>
    <x v="218"/>
    <x v="2"/>
    <x v="1"/>
    <n v="497"/>
  </r>
  <r>
    <x v="219"/>
    <x v="3"/>
    <x v="2"/>
    <n v="419"/>
  </r>
  <r>
    <x v="220"/>
    <x v="4"/>
    <x v="3"/>
    <n v="530"/>
  </r>
  <r>
    <x v="221"/>
    <x v="5"/>
    <x v="4"/>
    <n v="224"/>
  </r>
  <r>
    <x v="222"/>
    <x v="6"/>
    <x v="5"/>
    <n v="177"/>
  </r>
  <r>
    <x v="223"/>
    <x v="7"/>
    <x v="6"/>
    <n v="153"/>
  </r>
  <r>
    <x v="224"/>
    <x v="8"/>
    <x v="7"/>
    <n v="637"/>
  </r>
  <r>
    <x v="225"/>
    <x v="9"/>
    <x v="8"/>
    <n v="56"/>
  </r>
  <r>
    <x v="226"/>
    <x v="10"/>
    <x v="9"/>
    <n v="477"/>
  </r>
  <r>
    <x v="227"/>
    <x v="11"/>
    <x v="0"/>
    <n v="398"/>
  </r>
  <r>
    <x v="228"/>
    <x v="12"/>
    <x v="1"/>
    <n v="416"/>
  </r>
  <r>
    <x v="229"/>
    <x v="13"/>
    <x v="2"/>
    <n v="558"/>
  </r>
  <r>
    <x v="230"/>
    <x v="14"/>
    <x v="3"/>
    <n v="329"/>
  </r>
  <r>
    <x v="231"/>
    <x v="15"/>
    <x v="4"/>
    <n v="300"/>
  </r>
  <r>
    <x v="232"/>
    <x v="16"/>
    <x v="5"/>
    <n v="145"/>
  </r>
  <r>
    <x v="233"/>
    <x v="17"/>
    <x v="6"/>
    <n v="452"/>
  </r>
  <r>
    <x v="234"/>
    <x v="18"/>
    <x v="7"/>
    <n v="577"/>
  </r>
  <r>
    <x v="235"/>
    <x v="19"/>
    <x v="8"/>
    <n v="511"/>
  </r>
  <r>
    <x v="236"/>
    <x v="20"/>
    <x v="9"/>
    <n v="543"/>
  </r>
  <r>
    <x v="237"/>
    <x v="21"/>
    <x v="0"/>
    <n v="372"/>
  </r>
  <r>
    <x v="238"/>
    <x v="22"/>
    <x v="1"/>
    <n v="183"/>
  </r>
  <r>
    <x v="239"/>
    <x v="23"/>
    <x v="2"/>
    <n v="392"/>
  </r>
  <r>
    <x v="240"/>
    <x v="0"/>
    <x v="3"/>
    <n v="460"/>
  </r>
  <r>
    <x v="241"/>
    <x v="1"/>
    <x v="4"/>
    <n v="112"/>
  </r>
  <r>
    <x v="242"/>
    <x v="2"/>
    <x v="5"/>
    <n v="103"/>
  </r>
  <r>
    <x v="243"/>
    <x v="3"/>
    <x v="6"/>
    <n v="633"/>
  </r>
  <r>
    <x v="244"/>
    <x v="4"/>
    <x v="7"/>
    <n v="541"/>
  </r>
  <r>
    <x v="245"/>
    <x v="5"/>
    <x v="8"/>
    <n v="265"/>
  </r>
  <r>
    <x v="246"/>
    <x v="6"/>
    <x v="9"/>
    <n v="17"/>
  </r>
  <r>
    <x v="247"/>
    <x v="7"/>
    <x v="0"/>
    <n v="406"/>
  </r>
  <r>
    <x v="248"/>
    <x v="8"/>
    <x v="1"/>
    <n v="476"/>
  </r>
  <r>
    <x v="249"/>
    <x v="9"/>
    <x v="2"/>
    <n v="632"/>
  </r>
  <r>
    <x v="250"/>
    <x v="10"/>
    <x v="3"/>
    <n v="192"/>
  </r>
  <r>
    <x v="251"/>
    <x v="11"/>
    <x v="4"/>
    <n v="247"/>
  </r>
  <r>
    <x v="252"/>
    <x v="12"/>
    <x v="5"/>
    <n v="638"/>
  </r>
  <r>
    <x v="253"/>
    <x v="13"/>
    <x v="6"/>
    <n v="341"/>
  </r>
  <r>
    <x v="254"/>
    <x v="14"/>
    <x v="7"/>
    <n v="109"/>
  </r>
  <r>
    <x v="255"/>
    <x v="15"/>
    <x v="8"/>
    <n v="440"/>
  </r>
  <r>
    <x v="256"/>
    <x v="16"/>
    <x v="9"/>
    <n v="544"/>
  </r>
  <r>
    <x v="257"/>
    <x v="17"/>
    <x v="0"/>
    <n v="75"/>
  </r>
  <r>
    <x v="258"/>
    <x v="18"/>
    <x v="1"/>
    <n v="227"/>
  </r>
  <r>
    <x v="259"/>
    <x v="19"/>
    <x v="2"/>
    <n v="210"/>
  </r>
  <r>
    <x v="260"/>
    <x v="20"/>
    <x v="3"/>
    <n v="277"/>
  </r>
  <r>
    <x v="261"/>
    <x v="21"/>
    <x v="4"/>
    <n v="93"/>
  </r>
  <r>
    <x v="262"/>
    <x v="22"/>
    <x v="5"/>
    <n v="626"/>
  </r>
  <r>
    <x v="263"/>
    <x v="23"/>
    <x v="6"/>
    <n v="157"/>
  </r>
  <r>
    <x v="264"/>
    <x v="0"/>
    <x v="7"/>
    <n v="104"/>
  </r>
  <r>
    <x v="265"/>
    <x v="1"/>
    <x v="8"/>
    <n v="187"/>
  </r>
  <r>
    <x v="266"/>
    <x v="2"/>
    <x v="9"/>
    <n v="217"/>
  </r>
  <r>
    <x v="267"/>
    <x v="3"/>
    <x v="0"/>
    <n v="295"/>
  </r>
  <r>
    <x v="268"/>
    <x v="4"/>
    <x v="1"/>
    <n v="641"/>
  </r>
  <r>
    <x v="269"/>
    <x v="5"/>
    <x v="2"/>
    <n v="345"/>
  </r>
  <r>
    <x v="270"/>
    <x v="6"/>
    <x v="3"/>
    <n v="478"/>
  </r>
  <r>
    <x v="271"/>
    <x v="7"/>
    <x v="4"/>
    <n v="84"/>
  </r>
  <r>
    <x v="272"/>
    <x v="8"/>
    <x v="5"/>
    <n v="377"/>
  </r>
  <r>
    <x v="273"/>
    <x v="9"/>
    <x v="6"/>
    <n v="473"/>
  </r>
  <r>
    <x v="274"/>
    <x v="10"/>
    <x v="7"/>
    <n v="105"/>
  </r>
  <r>
    <x v="275"/>
    <x v="11"/>
    <x v="8"/>
    <n v="567"/>
  </r>
  <r>
    <x v="276"/>
    <x v="12"/>
    <x v="9"/>
    <n v="437"/>
  </r>
  <r>
    <x v="277"/>
    <x v="13"/>
    <x v="0"/>
    <n v="203"/>
  </r>
  <r>
    <x v="278"/>
    <x v="14"/>
    <x v="1"/>
    <n v="67"/>
  </r>
  <r>
    <x v="279"/>
    <x v="15"/>
    <x v="2"/>
    <n v="110"/>
  </r>
  <r>
    <x v="280"/>
    <x v="16"/>
    <x v="3"/>
    <n v="100"/>
  </r>
  <r>
    <x v="281"/>
    <x v="17"/>
    <x v="4"/>
    <n v="643"/>
  </r>
  <r>
    <x v="282"/>
    <x v="18"/>
    <x v="5"/>
    <n v="542"/>
  </r>
  <r>
    <x v="283"/>
    <x v="19"/>
    <x v="6"/>
    <n v="302"/>
  </r>
  <r>
    <x v="284"/>
    <x v="20"/>
    <x v="7"/>
    <n v="59"/>
  </r>
  <r>
    <x v="285"/>
    <x v="21"/>
    <x v="8"/>
    <n v="330"/>
  </r>
  <r>
    <x v="286"/>
    <x v="22"/>
    <x v="9"/>
    <n v="614"/>
  </r>
  <r>
    <x v="287"/>
    <x v="23"/>
    <x v="0"/>
    <n v="388"/>
  </r>
  <r>
    <x v="288"/>
    <x v="0"/>
    <x v="1"/>
    <n v="160"/>
  </r>
  <r>
    <x v="289"/>
    <x v="1"/>
    <x v="2"/>
    <n v="453"/>
  </r>
  <r>
    <x v="290"/>
    <x v="2"/>
    <x v="3"/>
    <n v="644"/>
  </r>
  <r>
    <x v="291"/>
    <x v="3"/>
    <x v="4"/>
    <n v="16"/>
  </r>
  <r>
    <x v="292"/>
    <x v="4"/>
    <x v="5"/>
    <n v="602"/>
  </r>
  <r>
    <x v="293"/>
    <x v="5"/>
    <x v="6"/>
    <n v="12"/>
  </r>
  <r>
    <x v="294"/>
    <x v="6"/>
    <x v="7"/>
    <n v="604"/>
  </r>
  <r>
    <x v="295"/>
    <x v="7"/>
    <x v="8"/>
    <n v="347"/>
  </r>
  <r>
    <x v="296"/>
    <x v="8"/>
    <x v="9"/>
    <n v="117"/>
  </r>
  <r>
    <x v="297"/>
    <x v="9"/>
    <x v="0"/>
    <n v="532"/>
  </r>
  <r>
    <x v="298"/>
    <x v="10"/>
    <x v="1"/>
    <n v="481"/>
  </r>
  <r>
    <x v="299"/>
    <x v="11"/>
    <x v="2"/>
    <n v="116"/>
  </r>
  <r>
    <x v="300"/>
    <x v="12"/>
    <x v="3"/>
    <n v="379"/>
  </r>
  <r>
    <x v="301"/>
    <x v="13"/>
    <x v="4"/>
    <n v="522"/>
  </r>
  <r>
    <x v="302"/>
    <x v="14"/>
    <x v="5"/>
    <n v="301"/>
  </r>
  <r>
    <x v="303"/>
    <x v="15"/>
    <x v="6"/>
    <n v="451"/>
  </r>
  <r>
    <x v="304"/>
    <x v="16"/>
    <x v="7"/>
    <n v="576"/>
  </r>
  <r>
    <x v="305"/>
    <x v="17"/>
    <x v="8"/>
    <n v="113"/>
  </r>
  <r>
    <x v="306"/>
    <x v="18"/>
    <x v="9"/>
    <n v="314"/>
  </r>
  <r>
    <x v="307"/>
    <x v="19"/>
    <x v="0"/>
    <n v="264"/>
  </r>
  <r>
    <x v="308"/>
    <x v="20"/>
    <x v="1"/>
    <n v="152"/>
  </r>
  <r>
    <x v="309"/>
    <x v="21"/>
    <x v="2"/>
    <n v="592"/>
  </r>
  <r>
    <x v="310"/>
    <x v="22"/>
    <x v="3"/>
    <n v="609"/>
  </r>
  <r>
    <x v="311"/>
    <x v="23"/>
    <x v="4"/>
    <n v="449"/>
  </r>
  <r>
    <x v="312"/>
    <x v="0"/>
    <x v="5"/>
    <n v="72"/>
  </r>
  <r>
    <x v="313"/>
    <x v="1"/>
    <x v="6"/>
    <n v="488"/>
  </r>
  <r>
    <x v="314"/>
    <x v="2"/>
    <x v="7"/>
    <n v="180"/>
  </r>
  <r>
    <x v="315"/>
    <x v="3"/>
    <x v="8"/>
    <n v="321"/>
  </r>
  <r>
    <x v="316"/>
    <x v="4"/>
    <x v="9"/>
    <n v="194"/>
  </r>
  <r>
    <x v="317"/>
    <x v="5"/>
    <x v="0"/>
    <n v="456"/>
  </r>
  <r>
    <x v="318"/>
    <x v="6"/>
    <x v="1"/>
    <n v="99"/>
  </r>
  <r>
    <x v="319"/>
    <x v="7"/>
    <x v="2"/>
    <n v="487"/>
  </r>
  <r>
    <x v="320"/>
    <x v="8"/>
    <x v="3"/>
    <n v="562"/>
  </r>
  <r>
    <x v="321"/>
    <x v="9"/>
    <x v="4"/>
    <n v="137"/>
  </r>
  <r>
    <x v="322"/>
    <x v="10"/>
    <x v="5"/>
    <n v="228"/>
  </r>
  <r>
    <x v="323"/>
    <x v="11"/>
    <x v="6"/>
    <n v="243"/>
  </r>
  <r>
    <x v="324"/>
    <x v="12"/>
    <x v="7"/>
    <n v="340"/>
  </r>
  <r>
    <x v="325"/>
    <x v="13"/>
    <x v="8"/>
    <n v="198"/>
  </r>
  <r>
    <x v="326"/>
    <x v="14"/>
    <x v="9"/>
    <n v="579"/>
  </r>
  <r>
    <x v="327"/>
    <x v="15"/>
    <x v="0"/>
    <n v="225"/>
  </r>
  <r>
    <x v="328"/>
    <x v="16"/>
    <x v="1"/>
    <n v="206"/>
  </r>
  <r>
    <x v="329"/>
    <x v="17"/>
    <x v="2"/>
    <n v="34"/>
  </r>
  <r>
    <x v="330"/>
    <x v="18"/>
    <x v="3"/>
    <n v="565"/>
  </r>
  <r>
    <x v="331"/>
    <x v="19"/>
    <x v="4"/>
    <n v="123"/>
  </r>
  <r>
    <x v="332"/>
    <x v="20"/>
    <x v="5"/>
    <n v="268"/>
  </r>
  <r>
    <x v="333"/>
    <x v="21"/>
    <x v="6"/>
    <n v="259"/>
  </r>
  <r>
    <x v="334"/>
    <x v="22"/>
    <x v="7"/>
    <n v="363"/>
  </r>
  <r>
    <x v="335"/>
    <x v="23"/>
    <x v="8"/>
    <n v="486"/>
  </r>
  <r>
    <x v="336"/>
    <x v="0"/>
    <x v="7"/>
    <n v="317"/>
  </r>
  <r>
    <x v="337"/>
    <x v="1"/>
    <x v="8"/>
    <n v="518"/>
  </r>
  <r>
    <x v="338"/>
    <x v="2"/>
    <x v="9"/>
    <n v="498"/>
  </r>
  <r>
    <x v="339"/>
    <x v="3"/>
    <x v="0"/>
    <n v="221"/>
  </r>
  <r>
    <x v="340"/>
    <x v="4"/>
    <x v="1"/>
    <n v="234"/>
  </r>
  <r>
    <x v="341"/>
    <x v="5"/>
    <x v="2"/>
    <n v="631"/>
  </r>
  <r>
    <x v="342"/>
    <x v="6"/>
    <x v="3"/>
    <n v="537"/>
  </r>
  <r>
    <x v="343"/>
    <x v="7"/>
    <x v="4"/>
    <n v="549"/>
  </r>
  <r>
    <x v="344"/>
    <x v="8"/>
    <x v="5"/>
    <n v="443"/>
  </r>
  <r>
    <x v="345"/>
    <x v="9"/>
    <x v="6"/>
    <n v="471"/>
  </r>
  <r>
    <x v="346"/>
    <x v="10"/>
    <x v="7"/>
    <n v="61"/>
  </r>
  <r>
    <x v="347"/>
    <x v="11"/>
    <x v="8"/>
    <n v="615"/>
  </r>
  <r>
    <x v="348"/>
    <x v="12"/>
    <x v="9"/>
    <n v="11"/>
  </r>
  <r>
    <x v="349"/>
    <x v="13"/>
    <x v="0"/>
    <n v="207"/>
  </r>
  <r>
    <x v="350"/>
    <x v="14"/>
    <x v="1"/>
    <n v="442"/>
  </r>
  <r>
    <x v="351"/>
    <x v="15"/>
    <x v="2"/>
    <n v="525"/>
  </r>
  <r>
    <x v="352"/>
    <x v="16"/>
    <x v="3"/>
    <n v="646"/>
  </r>
  <r>
    <x v="353"/>
    <x v="17"/>
    <x v="4"/>
    <n v="640"/>
  </r>
  <r>
    <x v="354"/>
    <x v="18"/>
    <x v="5"/>
    <n v="557"/>
  </r>
  <r>
    <x v="355"/>
    <x v="19"/>
    <x v="6"/>
    <n v="459"/>
  </r>
  <r>
    <x v="356"/>
    <x v="20"/>
    <x v="7"/>
    <n v="420"/>
  </r>
  <r>
    <x v="357"/>
    <x v="21"/>
    <x v="8"/>
    <n v="173"/>
  </r>
  <r>
    <x v="358"/>
    <x v="22"/>
    <x v="9"/>
    <n v="448"/>
  </r>
  <r>
    <x v="359"/>
    <x v="23"/>
    <x v="0"/>
    <n v="114"/>
  </r>
  <r>
    <x v="360"/>
    <x v="0"/>
    <x v="1"/>
    <n v="167"/>
  </r>
  <r>
    <x v="361"/>
    <x v="1"/>
    <x v="2"/>
    <n v="352"/>
  </r>
  <r>
    <x v="362"/>
    <x v="2"/>
    <x v="3"/>
    <n v="148"/>
  </r>
  <r>
    <x v="363"/>
    <x v="3"/>
    <x v="4"/>
    <n v="13"/>
  </r>
  <r>
    <x v="364"/>
    <x v="4"/>
    <x v="5"/>
    <n v="597"/>
  </r>
  <r>
    <x v="365"/>
    <x v="5"/>
    <x v="6"/>
    <n v="441"/>
  </r>
  <r>
    <x v="366"/>
    <x v="6"/>
    <x v="7"/>
    <n v="37"/>
  </r>
  <r>
    <x v="367"/>
    <x v="7"/>
    <x v="8"/>
    <n v="365"/>
  </r>
  <r>
    <x v="368"/>
    <x v="8"/>
    <x v="9"/>
    <n v="358"/>
  </r>
  <r>
    <x v="369"/>
    <x v="9"/>
    <x v="0"/>
    <n v="484"/>
  </r>
  <r>
    <x v="370"/>
    <x v="10"/>
    <x v="1"/>
    <n v="367"/>
  </r>
  <r>
    <x v="371"/>
    <x v="11"/>
    <x v="2"/>
    <n v="127"/>
  </r>
  <r>
    <x v="372"/>
    <x v="12"/>
    <x v="3"/>
    <n v="368"/>
  </r>
  <r>
    <x v="373"/>
    <x v="13"/>
    <x v="4"/>
    <n v="387"/>
  </r>
  <r>
    <x v="374"/>
    <x v="14"/>
    <x v="5"/>
    <n v="629"/>
  </r>
  <r>
    <x v="375"/>
    <x v="15"/>
    <x v="6"/>
    <n v="645"/>
  </r>
  <r>
    <x v="376"/>
    <x v="16"/>
    <x v="7"/>
    <n v="33"/>
  </r>
  <r>
    <x v="377"/>
    <x v="17"/>
    <x v="8"/>
    <n v="554"/>
  </r>
  <r>
    <x v="378"/>
    <x v="18"/>
    <x v="9"/>
    <n v="430"/>
  </r>
  <r>
    <x v="379"/>
    <x v="19"/>
    <x v="0"/>
    <n v="332"/>
  </r>
  <r>
    <x v="380"/>
    <x v="20"/>
    <x v="1"/>
    <n v="435"/>
  </r>
  <r>
    <x v="381"/>
    <x v="21"/>
    <x v="2"/>
    <n v="605"/>
  </r>
  <r>
    <x v="382"/>
    <x v="22"/>
    <x v="3"/>
    <n v="47"/>
  </r>
  <r>
    <x v="383"/>
    <x v="23"/>
    <x v="4"/>
    <n v="303"/>
  </r>
  <r>
    <x v="384"/>
    <x v="0"/>
    <x v="5"/>
    <n v="496"/>
  </r>
  <r>
    <x v="385"/>
    <x v="1"/>
    <x v="6"/>
    <n v="383"/>
  </r>
  <r>
    <x v="386"/>
    <x v="2"/>
    <x v="7"/>
    <n v="381"/>
  </r>
  <r>
    <x v="387"/>
    <x v="3"/>
    <x v="8"/>
    <n v="351"/>
  </r>
  <r>
    <x v="388"/>
    <x v="4"/>
    <x v="9"/>
    <n v="165"/>
  </r>
  <r>
    <x v="389"/>
    <x v="5"/>
    <x v="0"/>
    <n v="272"/>
  </r>
  <r>
    <x v="390"/>
    <x v="6"/>
    <x v="1"/>
    <n v="445"/>
  </r>
  <r>
    <x v="391"/>
    <x v="7"/>
    <x v="2"/>
    <n v="338"/>
  </r>
  <r>
    <x v="392"/>
    <x v="8"/>
    <x v="3"/>
    <n v="140"/>
  </r>
  <r>
    <x v="393"/>
    <x v="9"/>
    <x v="4"/>
    <n v="623"/>
  </r>
  <r>
    <x v="394"/>
    <x v="10"/>
    <x v="5"/>
    <n v="269"/>
  </r>
  <r>
    <x v="395"/>
    <x v="11"/>
    <x v="6"/>
    <n v="546"/>
  </r>
  <r>
    <x v="396"/>
    <x v="12"/>
    <x v="7"/>
    <n v="318"/>
  </r>
  <r>
    <x v="397"/>
    <x v="13"/>
    <x v="8"/>
    <n v="397"/>
  </r>
  <r>
    <x v="398"/>
    <x v="14"/>
    <x v="9"/>
    <n v="241"/>
  </r>
  <r>
    <x v="399"/>
    <x v="15"/>
    <x v="0"/>
    <n v="636"/>
  </r>
  <r>
    <x v="400"/>
    <x v="16"/>
    <x v="1"/>
    <n v="156"/>
  </r>
  <r>
    <x v="401"/>
    <x v="17"/>
    <x v="2"/>
    <n v="327"/>
  </r>
  <r>
    <x v="402"/>
    <x v="18"/>
    <x v="3"/>
    <n v="39"/>
  </r>
  <r>
    <x v="403"/>
    <x v="19"/>
    <x v="4"/>
    <n v="485"/>
  </r>
  <r>
    <x v="404"/>
    <x v="20"/>
    <x v="5"/>
    <n v="134"/>
  </r>
  <r>
    <x v="405"/>
    <x v="21"/>
    <x v="6"/>
    <n v="82"/>
  </r>
  <r>
    <x v="406"/>
    <x v="22"/>
    <x v="0"/>
    <n v="57"/>
  </r>
  <r>
    <x v="407"/>
    <x v="23"/>
    <x v="1"/>
    <n v="283"/>
  </r>
  <r>
    <x v="408"/>
    <x v="0"/>
    <x v="6"/>
    <n v="308"/>
  </r>
  <r>
    <x v="409"/>
    <x v="1"/>
    <x v="7"/>
    <n v="495"/>
  </r>
  <r>
    <x v="410"/>
    <x v="2"/>
    <x v="8"/>
    <n v="547"/>
  </r>
  <r>
    <x v="411"/>
    <x v="3"/>
    <x v="9"/>
    <n v="447"/>
  </r>
  <r>
    <x v="412"/>
    <x v="4"/>
    <x v="0"/>
    <n v="413"/>
  </r>
  <r>
    <x v="413"/>
    <x v="5"/>
    <x v="1"/>
    <n v="168"/>
  </r>
  <r>
    <x v="414"/>
    <x v="6"/>
    <x v="2"/>
    <n v="339"/>
  </r>
  <r>
    <x v="415"/>
    <x v="7"/>
    <x v="3"/>
    <n v="450"/>
  </r>
  <r>
    <x v="416"/>
    <x v="8"/>
    <x v="4"/>
    <n v="242"/>
  </r>
  <r>
    <x v="417"/>
    <x v="9"/>
    <x v="5"/>
    <n v="531"/>
  </r>
  <r>
    <x v="418"/>
    <x v="10"/>
    <x v="6"/>
    <n v="494"/>
  </r>
  <r>
    <x v="419"/>
    <x v="11"/>
    <x v="7"/>
    <n v="131"/>
  </r>
  <r>
    <x v="420"/>
    <x v="12"/>
    <x v="8"/>
    <n v="360"/>
  </r>
  <r>
    <x v="421"/>
    <x v="13"/>
    <x v="9"/>
    <n v="212"/>
  </r>
  <r>
    <x v="422"/>
    <x v="14"/>
    <x v="0"/>
    <n v="222"/>
  </r>
  <r>
    <x v="423"/>
    <x v="15"/>
    <x v="1"/>
    <n v="466"/>
  </r>
  <r>
    <x v="424"/>
    <x v="16"/>
    <x v="2"/>
    <n v="560"/>
  </r>
  <r>
    <x v="425"/>
    <x v="17"/>
    <x v="3"/>
    <n v="618"/>
  </r>
  <r>
    <x v="426"/>
    <x v="18"/>
    <x v="4"/>
    <n v="364"/>
  </r>
  <r>
    <x v="427"/>
    <x v="19"/>
    <x v="5"/>
    <n v="540"/>
  </r>
  <r>
    <x v="428"/>
    <x v="20"/>
    <x v="6"/>
    <n v="382"/>
  </r>
  <r>
    <x v="429"/>
    <x v="21"/>
    <x v="7"/>
    <n v="514"/>
  </r>
  <r>
    <x v="430"/>
    <x v="22"/>
    <x v="8"/>
    <n v="31"/>
  </r>
  <r>
    <x v="431"/>
    <x v="23"/>
    <x v="9"/>
    <n v="371"/>
  </r>
  <r>
    <x v="432"/>
    <x v="0"/>
    <x v="0"/>
    <n v="278"/>
  </r>
  <r>
    <x v="433"/>
    <x v="1"/>
    <x v="1"/>
    <n v="311"/>
  </r>
  <r>
    <x v="434"/>
    <x v="2"/>
    <x v="2"/>
    <n v="517"/>
  </r>
  <r>
    <x v="435"/>
    <x v="3"/>
    <x v="3"/>
    <n v="429"/>
  </r>
  <r>
    <x v="436"/>
    <x v="4"/>
    <x v="4"/>
    <n v="276"/>
  </r>
  <r>
    <x v="437"/>
    <x v="5"/>
    <x v="5"/>
    <n v="291"/>
  </r>
  <r>
    <x v="438"/>
    <x v="6"/>
    <x v="6"/>
    <n v="233"/>
  </r>
  <r>
    <x v="439"/>
    <x v="7"/>
    <x v="7"/>
    <n v="585"/>
  </r>
  <r>
    <x v="440"/>
    <x v="8"/>
    <x v="8"/>
    <n v="414"/>
  </r>
  <r>
    <x v="441"/>
    <x v="9"/>
    <x v="9"/>
    <n v="49"/>
  </r>
  <r>
    <x v="442"/>
    <x v="10"/>
    <x v="0"/>
    <n v="18"/>
  </r>
  <r>
    <x v="443"/>
    <x v="11"/>
    <x v="1"/>
    <n v="357"/>
  </r>
  <r>
    <x v="444"/>
    <x v="12"/>
    <x v="2"/>
    <n v="325"/>
  </r>
  <r>
    <x v="445"/>
    <x v="13"/>
    <x v="3"/>
    <n v="270"/>
  </r>
  <r>
    <x v="446"/>
    <x v="14"/>
    <x v="4"/>
    <n v="552"/>
  </r>
  <r>
    <x v="447"/>
    <x v="15"/>
    <x v="5"/>
    <n v="223"/>
  </r>
  <r>
    <x v="448"/>
    <x v="16"/>
    <x v="6"/>
    <n v="40"/>
  </r>
  <r>
    <x v="449"/>
    <x v="17"/>
    <x v="7"/>
    <n v="337"/>
  </r>
  <r>
    <x v="450"/>
    <x v="18"/>
    <x v="8"/>
    <n v="446"/>
  </r>
  <r>
    <x v="451"/>
    <x v="19"/>
    <x v="9"/>
    <n v="8"/>
  </r>
  <r>
    <x v="452"/>
    <x v="20"/>
    <x v="0"/>
    <n v="350"/>
  </r>
  <r>
    <x v="453"/>
    <x v="21"/>
    <x v="1"/>
    <n v="455"/>
  </r>
  <r>
    <x v="454"/>
    <x v="22"/>
    <x v="2"/>
    <n v="479"/>
  </r>
  <r>
    <x v="455"/>
    <x v="23"/>
    <x v="3"/>
    <n v="428"/>
  </r>
  <r>
    <x v="456"/>
    <x v="0"/>
    <x v="2"/>
    <n v="464"/>
  </r>
  <r>
    <x v="457"/>
    <x v="1"/>
    <x v="3"/>
    <n v="391"/>
  </r>
  <r>
    <x v="458"/>
    <x v="2"/>
    <x v="4"/>
    <n v="14"/>
  </r>
  <r>
    <x v="459"/>
    <x v="3"/>
    <x v="5"/>
    <n v="600"/>
  </r>
  <r>
    <x v="460"/>
    <x v="4"/>
    <x v="6"/>
    <n v="52"/>
  </r>
  <r>
    <x v="461"/>
    <x v="5"/>
    <x v="7"/>
    <n v="559"/>
  </r>
  <r>
    <x v="462"/>
    <x v="6"/>
    <x v="8"/>
    <n v="607"/>
  </r>
  <r>
    <x v="463"/>
    <x v="7"/>
    <x v="9"/>
    <n v="424"/>
  </r>
  <r>
    <x v="464"/>
    <x v="8"/>
    <x v="0"/>
    <n v="625"/>
  </r>
  <r>
    <x v="465"/>
    <x v="9"/>
    <x v="1"/>
    <n v="38"/>
  </r>
  <r>
    <x v="466"/>
    <x v="10"/>
    <x v="2"/>
    <n v="310"/>
  </r>
  <r>
    <x v="467"/>
    <x v="11"/>
    <x v="3"/>
    <n v="335"/>
  </r>
  <r>
    <x v="468"/>
    <x v="12"/>
    <x v="4"/>
    <n v="313"/>
  </r>
  <r>
    <x v="469"/>
    <x v="13"/>
    <x v="5"/>
    <n v="78"/>
  </r>
  <r>
    <x v="470"/>
    <x v="14"/>
    <x v="6"/>
    <n v="151"/>
  </r>
  <r>
    <x v="471"/>
    <x v="15"/>
    <x v="7"/>
    <n v="461"/>
  </r>
  <r>
    <x v="472"/>
    <x v="16"/>
    <x v="8"/>
    <n v="255"/>
  </r>
  <r>
    <x v="473"/>
    <x v="17"/>
    <x v="9"/>
    <n v="411"/>
  </r>
  <r>
    <x v="474"/>
    <x v="18"/>
    <x v="0"/>
    <n v="202"/>
  </r>
  <r>
    <x v="475"/>
    <x v="19"/>
    <x v="1"/>
    <n v="571"/>
  </r>
  <r>
    <x v="476"/>
    <x v="20"/>
    <x v="2"/>
    <n v="386"/>
  </r>
  <r>
    <x v="477"/>
    <x v="21"/>
    <x v="3"/>
    <n v="353"/>
  </r>
  <r>
    <x v="478"/>
    <x v="22"/>
    <x v="4"/>
    <n v="650"/>
  </r>
  <r>
    <x v="479"/>
    <x v="23"/>
    <x v="5"/>
    <n v="144"/>
  </r>
  <r>
    <x v="480"/>
    <x v="0"/>
    <x v="6"/>
    <n v="267"/>
  </r>
  <r>
    <x v="481"/>
    <x v="1"/>
    <x v="7"/>
    <n v="480"/>
  </r>
  <r>
    <x v="482"/>
    <x v="2"/>
    <x v="8"/>
    <n v="141"/>
  </r>
  <r>
    <x v="483"/>
    <x v="3"/>
    <x v="9"/>
    <n v="616"/>
  </r>
  <r>
    <x v="484"/>
    <x v="4"/>
    <x v="0"/>
    <n v="432"/>
  </r>
  <r>
    <x v="485"/>
    <x v="5"/>
    <x v="1"/>
    <n v="370"/>
  </r>
  <r>
    <x v="486"/>
    <x v="6"/>
    <x v="2"/>
    <n v="305"/>
  </r>
  <r>
    <x v="487"/>
    <x v="7"/>
    <x v="3"/>
    <n v="133"/>
  </r>
  <r>
    <x v="488"/>
    <x v="8"/>
    <x v="4"/>
    <n v="253"/>
  </r>
  <r>
    <x v="489"/>
    <x v="9"/>
    <x v="5"/>
    <n v="81"/>
  </r>
  <r>
    <x v="490"/>
    <x v="10"/>
    <x v="6"/>
    <n v="586"/>
  </r>
  <r>
    <x v="491"/>
    <x v="11"/>
    <x v="7"/>
    <n v="213"/>
  </r>
  <r>
    <x v="492"/>
    <x v="12"/>
    <x v="8"/>
    <n v="323"/>
  </r>
  <r>
    <x v="493"/>
    <x v="13"/>
    <x v="9"/>
    <n v="328"/>
  </r>
  <r>
    <x v="494"/>
    <x v="14"/>
    <x v="0"/>
    <n v="107"/>
  </r>
  <r>
    <x v="495"/>
    <x v="15"/>
    <x v="1"/>
    <n v="294"/>
  </r>
  <r>
    <x v="496"/>
    <x v="16"/>
    <x v="2"/>
    <n v="83"/>
  </r>
  <r>
    <x v="497"/>
    <x v="17"/>
    <x v="3"/>
    <n v="132"/>
  </r>
  <r>
    <x v="498"/>
    <x v="18"/>
    <x v="4"/>
    <n v="490"/>
  </r>
  <r>
    <x v="499"/>
    <x v="19"/>
    <x v="5"/>
    <n v="324"/>
  </r>
  <r>
    <x v="500"/>
    <x v="20"/>
    <x v="6"/>
    <n v="509"/>
  </r>
  <r>
    <x v="501"/>
    <x v="21"/>
    <x v="7"/>
    <n v="70"/>
  </r>
  <r>
    <x v="502"/>
    <x v="22"/>
    <x v="8"/>
    <n v="10"/>
  </r>
  <r>
    <x v="503"/>
    <x v="23"/>
    <x v="9"/>
    <n v="548"/>
  </r>
  <r>
    <x v="504"/>
    <x v="0"/>
    <x v="0"/>
    <n v="306"/>
  </r>
  <r>
    <x v="505"/>
    <x v="1"/>
    <x v="1"/>
    <n v="119"/>
  </r>
  <r>
    <x v="506"/>
    <x v="2"/>
    <x v="2"/>
    <n v="43"/>
  </r>
  <r>
    <x v="507"/>
    <x v="3"/>
    <x v="3"/>
    <n v="464"/>
  </r>
  <r>
    <x v="508"/>
    <x v="4"/>
    <x v="4"/>
    <n v="391"/>
  </r>
  <r>
    <x v="509"/>
    <x v="5"/>
    <x v="5"/>
    <n v="14"/>
  </r>
  <r>
    <x v="510"/>
    <x v="6"/>
    <x v="6"/>
    <n v="600"/>
  </r>
  <r>
    <x v="511"/>
    <x v="7"/>
    <x v="7"/>
    <n v="52"/>
  </r>
  <r>
    <x v="512"/>
    <x v="8"/>
    <x v="8"/>
    <n v="559"/>
  </r>
  <r>
    <x v="513"/>
    <x v="9"/>
    <x v="9"/>
    <n v="607"/>
  </r>
  <r>
    <x v="514"/>
    <x v="10"/>
    <x v="0"/>
    <n v="424"/>
  </r>
  <r>
    <x v="515"/>
    <x v="11"/>
    <x v="1"/>
    <n v="625"/>
  </r>
  <r>
    <x v="516"/>
    <x v="12"/>
    <x v="2"/>
    <n v="38"/>
  </r>
  <r>
    <x v="517"/>
    <x v="13"/>
    <x v="3"/>
    <n v="310"/>
  </r>
  <r>
    <x v="518"/>
    <x v="14"/>
    <x v="4"/>
    <n v="335"/>
  </r>
  <r>
    <x v="519"/>
    <x v="15"/>
    <x v="5"/>
    <n v="313"/>
  </r>
  <r>
    <x v="520"/>
    <x v="16"/>
    <x v="6"/>
    <n v="78"/>
  </r>
  <r>
    <x v="521"/>
    <x v="17"/>
    <x v="7"/>
    <n v="151"/>
  </r>
  <r>
    <x v="522"/>
    <x v="18"/>
    <x v="8"/>
    <n v="461"/>
  </r>
  <r>
    <x v="523"/>
    <x v="19"/>
    <x v="9"/>
    <n v="523"/>
  </r>
  <r>
    <x v="524"/>
    <x v="20"/>
    <x v="0"/>
    <n v="789"/>
  </r>
  <r>
    <x v="525"/>
    <x v="21"/>
    <x v="1"/>
    <n v="654"/>
  </r>
  <r>
    <x v="526"/>
    <x v="22"/>
    <x v="2"/>
    <n v="125"/>
  </r>
  <r>
    <x v="527"/>
    <x v="23"/>
    <x v="3"/>
    <n v="658"/>
  </r>
  <r>
    <x v="528"/>
    <x v="0"/>
    <x v="5"/>
    <n v="399"/>
  </r>
  <r>
    <x v="529"/>
    <x v="1"/>
    <x v="6"/>
    <n v="539"/>
  </r>
  <r>
    <x v="530"/>
    <x v="2"/>
    <x v="7"/>
    <n v="534"/>
  </r>
  <r>
    <x v="531"/>
    <x v="3"/>
    <x v="8"/>
    <n v="230"/>
  </r>
  <r>
    <x v="532"/>
    <x v="4"/>
    <x v="9"/>
    <n v="438"/>
  </r>
  <r>
    <x v="528"/>
    <x v="0"/>
    <x v="1"/>
    <n v="74"/>
  </r>
  <r>
    <x v="529"/>
    <x v="1"/>
    <x v="2"/>
    <n v="197"/>
  </r>
  <r>
    <x v="530"/>
    <x v="2"/>
    <x v="3"/>
    <n v="628"/>
  </r>
  <r>
    <x v="531"/>
    <x v="3"/>
    <x v="4"/>
    <n v="108"/>
  </r>
  <r>
    <x v="532"/>
    <x v="4"/>
    <x v="5"/>
    <n v="334"/>
  </r>
  <r>
    <x v="533"/>
    <x v="5"/>
    <x v="6"/>
    <n v="195"/>
  </r>
  <r>
    <x v="534"/>
    <x v="6"/>
    <x v="7"/>
    <n v="184"/>
  </r>
  <r>
    <x v="535"/>
    <x v="7"/>
    <x v="8"/>
    <n v="427"/>
  </r>
  <r>
    <x v="536"/>
    <x v="8"/>
    <x v="9"/>
    <n v="19"/>
  </r>
  <r>
    <x v="537"/>
    <x v="9"/>
    <x v="0"/>
    <n v="299"/>
  </r>
  <r>
    <x v="538"/>
    <x v="10"/>
    <x v="1"/>
    <n v="627"/>
  </r>
  <r>
    <x v="539"/>
    <x v="11"/>
    <x v="2"/>
    <n v="620"/>
  </r>
  <r>
    <x v="540"/>
    <x v="12"/>
    <x v="3"/>
    <n v="106"/>
  </r>
  <r>
    <x v="541"/>
    <x v="13"/>
    <x v="4"/>
    <n v="280"/>
  </r>
  <r>
    <x v="542"/>
    <x v="14"/>
    <x v="5"/>
    <n v="457"/>
  </r>
  <r>
    <x v="543"/>
    <x v="15"/>
    <x v="6"/>
    <n v="15"/>
  </r>
  <r>
    <x v="544"/>
    <x v="16"/>
    <x v="7"/>
    <n v="208"/>
  </r>
  <r>
    <x v="545"/>
    <x v="17"/>
    <x v="8"/>
    <n v="136"/>
  </r>
  <r>
    <x v="546"/>
    <x v="18"/>
    <x v="9"/>
    <n v="65"/>
  </r>
  <r>
    <x v="547"/>
    <x v="19"/>
    <x v="0"/>
    <n v="25"/>
  </r>
  <r>
    <x v="548"/>
    <x v="20"/>
    <x v="1"/>
    <n v="22"/>
  </r>
  <r>
    <x v="549"/>
    <x v="21"/>
    <x v="2"/>
    <n v="27"/>
  </r>
  <r>
    <x v="550"/>
    <x v="22"/>
    <x v="3"/>
    <n v="30"/>
  </r>
  <r>
    <x v="551"/>
    <x v="23"/>
    <x v="4"/>
    <n v="2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2024-10-01 17"/>
    <x v="0"/>
    <n v="582"/>
  </r>
  <r>
    <s v="2024-10-02 17"/>
    <x v="1"/>
    <n v="444"/>
  </r>
  <r>
    <s v="2024-10-03 17"/>
    <x v="2"/>
    <n v="385"/>
  </r>
  <r>
    <s v="2024-10-04 17"/>
    <x v="2"/>
    <n v="608"/>
  </r>
  <r>
    <s v="2024-10-07 17"/>
    <x v="3"/>
    <n v="256"/>
  </r>
  <r>
    <s v="2024-10-08 17"/>
    <x v="4"/>
    <n v="426"/>
  </r>
  <r>
    <s v="2024-10-09 17"/>
    <x v="2"/>
    <n v="77"/>
  </r>
  <r>
    <s v="2024-10-10 17"/>
    <x v="5"/>
    <n v="533"/>
  </r>
  <r>
    <s v="2024-10-11 17"/>
    <x v="6"/>
    <n v="634"/>
  </r>
  <r>
    <s v="2024-10-14 17"/>
    <x v="2"/>
    <n v="452"/>
  </r>
  <r>
    <s v="2024-10-15 17"/>
    <x v="5"/>
    <n v="75"/>
  </r>
  <r>
    <s v="2024-10-16 17"/>
    <x v="6"/>
    <n v="643"/>
  </r>
  <r>
    <s v="2024-10-17 17"/>
    <x v="3"/>
    <n v="113"/>
  </r>
  <r>
    <s v="2024-10-18 17"/>
    <x v="4"/>
    <n v="34"/>
  </r>
  <r>
    <s v="2024-10-21 17"/>
    <x v="6"/>
    <n v="640"/>
  </r>
  <r>
    <s v="2024-10-22 17"/>
    <x v="3"/>
    <n v="554"/>
  </r>
  <r>
    <s v="2024-10-23 17"/>
    <x v="4"/>
    <n v="327"/>
  </r>
  <r>
    <s v="2024-10-24 17"/>
    <x v="7"/>
    <n v="618"/>
  </r>
  <r>
    <s v="2024-10-25 17"/>
    <x v="0"/>
    <n v="337"/>
  </r>
  <r>
    <s v="2024-10-28 17"/>
    <x v="8"/>
    <n v="411"/>
  </r>
  <r>
    <s v="2024-10-29 17"/>
    <x v="7"/>
    <n v="132"/>
  </r>
  <r>
    <s v="2024-10-30 17"/>
    <x v="0"/>
    <n v="151"/>
  </r>
  <r>
    <s v="2024-10-31 17"/>
    <x v="3"/>
    <n v="1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6" cacheId="0" autoFormatId="1" applyNumberFormats="0" applyBorderFormats="0" applyFontFormats="0" applyPatternFormats="0" applyAlignmentFormats="0" applyWidthHeightFormats="1" dataCaption="Значения" updatedVersion="7" minRefreshableVersion="3" createdVersion="7" useAutoFormatting="1" indent="0" outline="1" outlineData="1" showDrill="1" multipleFieldFilters="0" chartFormat="2">
  <location ref="A1:B554" firstHeaderRow="1" firstDataRow="1" firstDataCol="1"/>
  <pivotFields count="4">
    <pivotField axis="axisRow" showAll="0">
      <items count="5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0"/>
  </rowFields>
  <rowItems count="5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 t="grand">
      <x/>
    </i>
  </rowItems>
  <colItems count="1">
    <i/>
  </colItems>
  <dataFields count="1">
    <dataField name="Сумма по полю Кол-во" fld="3" baseField="0" baseItem="0"/>
  </dataFields>
  <formats count="65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fieldPosition="0"/>
    </format>
    <format dxfId="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7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0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1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2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3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4">
      <pivotArea dataOnly="0" labelOnly="1" fieldPosition="0">
        <references count="1">
          <reference field="0" count="2">
            <x v="550"/>
            <x v="551"/>
          </reference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/>
    </format>
    <format dxfId="17">
      <pivotArea dataOnly="0" labelOnly="1" outline="0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2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5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7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8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9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0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1">
      <pivotArea dataOnly="0" labelOnly="1" fieldPosition="0">
        <references count="1">
          <reference field="0" count="2">
            <x v="550"/>
            <x v="551"/>
          </reference>
        </references>
      </pivotArea>
    </format>
    <format dxfId="32">
      <pivotArea field="0" type="button" dataOnly="0" labelOnly="1" outline="0" fieldPosition="0"/>
    </format>
    <format dxfId="33">
      <pivotArea dataOnly="0" labelOnly="1" outline="0" fieldPosition="0"/>
    </format>
    <format dxfId="34">
      <pivotArea collapsedLevelsAreSubtotals="1" fieldPosition="0">
        <references count="1">
          <reference field="0" count="0"/>
        </references>
      </pivotArea>
    </format>
    <format dxfId="3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7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9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0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1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2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3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4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45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46">
      <pivotArea dataOnly="0" labelOnly="1" fieldPosition="0">
        <references count="1">
          <reference field="0" count="2">
            <x v="550"/>
            <x v="551"/>
          </reference>
        </references>
      </pivotArea>
    </format>
    <format dxfId="47">
      <pivotArea grandRow="1" outline="0" collapsedLevelsAreSubtotals="1" fieldPosition="0"/>
    </format>
    <format dxfId="48">
      <pivotArea dataOnly="0" labelOnly="1" grandRow="1" outline="0" fieldPosition="0"/>
    </format>
    <format dxfId="49">
      <pivotArea collapsedLevelsAreSubtotals="1" fieldPosition="0">
        <references count="1">
          <reference field="0" count="0"/>
        </references>
      </pivotArea>
    </format>
    <format dxfId="5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2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3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5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7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8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9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60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61">
      <pivotArea dataOnly="0" labelOnly="1" fieldPosition="0">
        <references count="1">
          <reference field="0" count="2">
            <x v="550"/>
            <x v="551"/>
          </reference>
        </references>
      </pivotArea>
    </format>
    <format dxfId="62">
      <pivotArea field="0" type="button" dataOnly="0" labelOnly="1" outline="0" fieldPosition="0"/>
    </format>
    <format dxfId="63">
      <pivotArea dataOnly="0" labelOnly="1" outline="0" fieldPosition="0"/>
    </format>
    <format dxfId="6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8" cacheId="0" autoFormatId="1" applyNumberFormats="0" applyBorderFormats="0" applyFontFormats="0" applyPatternFormats="0" applyAlignmentFormats="0" applyWidthHeightFormats="1" dataCaption="Значения" updatedVersion="7" minRefreshableVersion="3" createdVersion="7" useAutoFormatting="1" indent="0" outline="1" outlineData="1" showDrill="1" multipleFieldFilters="0">
  <location ref="A1:B26" firstHeaderRow="1" firstDataRow="1" firstDataCol="1"/>
  <pivotFields count="4">
    <pivotField showAll="0">
      <items count="5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axis="axisRow" sortType="descending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25">
    <i>
      <x v="17"/>
    </i>
    <i>
      <x v="4"/>
    </i>
    <i>
      <x v="23"/>
    </i>
    <i>
      <x v="7"/>
    </i>
    <i>
      <x v="21"/>
    </i>
    <i>
      <x v="8"/>
    </i>
    <i>
      <x v="1"/>
    </i>
    <i>
      <x v="6"/>
    </i>
    <i>
      <x v="9"/>
    </i>
    <i>
      <x v="18"/>
    </i>
    <i>
      <x/>
    </i>
    <i>
      <x v="14"/>
    </i>
    <i>
      <x v="12"/>
    </i>
    <i>
      <x v="3"/>
    </i>
    <i>
      <x v="20"/>
    </i>
    <i>
      <x v="15"/>
    </i>
    <i>
      <x v="19"/>
    </i>
    <i>
      <x v="2"/>
    </i>
    <i>
      <x v="13"/>
    </i>
    <i>
      <x v="22"/>
    </i>
    <i>
      <x v="11"/>
    </i>
    <i>
      <x v="10"/>
    </i>
    <i>
      <x v="16"/>
    </i>
    <i>
      <x v="5"/>
    </i>
    <i t="grand">
      <x/>
    </i>
  </rowItems>
  <colItems count="1">
    <i/>
  </colItems>
  <dataFields count="1">
    <dataField name="Сумма по полю Кол-во" fld="3" baseField="0" baseItem="0"/>
  </dataFields>
  <formats count="19">
    <format dxfId="65">
      <pivotArea type="all" dataOnly="0" outline="0" fieldPosition="0"/>
    </format>
    <format dxfId="66">
      <pivotArea outline="0" collapsedLevelsAreSubtotals="1" fieldPosition="0"/>
    </format>
    <format dxfId="67">
      <pivotArea field="1" type="button" dataOnly="0" labelOnly="1" outline="0" fieldPosition="0"/>
    </format>
    <format dxfId="68">
      <pivotArea dataOnly="0" labelOnly="1" fieldPosition="0">
        <references count="1">
          <reference field="1" count="0"/>
        </references>
      </pivotArea>
    </format>
    <format dxfId="69">
      <pivotArea dataOnly="0" labelOnly="1" grandRow="1" outline="0" fieldPosition="0"/>
    </format>
    <format dxfId="70">
      <pivotArea dataOnly="0" labelOnly="1" outline="0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1" type="button" dataOnly="0" labelOnly="1" outline="0" fieldPosition="0"/>
    </format>
    <format dxfId="74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6">
      <pivotArea dataOnly="0" labelOnly="1" outline="0" fieldPosition="0"/>
    </format>
    <format dxfId="77">
      <pivotArea grandRow="1" outline="0" collapsedLevelsAreSubtotals="1" fieldPosition="0"/>
    </format>
    <format dxfId="78">
      <pivotArea dataOnly="0" labelOnly="1" grandRow="1" outline="0" fieldPosition="0"/>
    </format>
    <format dxfId="79">
      <pivotArea collapsedLevelsAreSubtotals="1" fieldPosition="0">
        <references count="1">
          <reference field="1" count="0"/>
        </references>
      </pivotArea>
    </format>
    <format dxfId="80">
      <pivotArea dataOnly="0" labelOnly="1" fieldPosition="0">
        <references count="1">
          <reference field="1" count="0"/>
        </references>
      </pivotArea>
    </format>
    <format dxfId="81">
      <pivotArea field="1" type="button" dataOnly="0" labelOnly="1" outline="0" fieldPosition="0"/>
    </format>
    <format dxfId="82">
      <pivotArea dataOnly="0" labelOnly="1" outline="0" fieldPosition="0"/>
    </format>
    <format dxfId="8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0" cacheId="1" autoFormatId="1" applyNumberFormats="0" applyBorderFormats="0" applyFontFormats="0" applyPatternFormats="0" applyAlignmentFormats="0" applyWidthHeightFormats="1" dataCaption="Значения" updatedVersion="7" minRefreshableVersion="3" createdVersion="7" useAutoFormatting="1" indent="0" outline="1" outlineData="1" showDrill="1" multipleFieldFilters="0">
  <location ref="A1:B11" firstHeaderRow="1" firstDataRow="1" firstDataCol="1"/>
  <pivotFields count="3">
    <pivotField showAll="0"/>
    <pivotField axis="axisRow" sortType="descending" showAll="0">
      <items count="10">
        <item x="7"/>
        <item x="3"/>
        <item x="0"/>
        <item x="6"/>
        <item x="1"/>
        <item x="5"/>
        <item x="4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0">
    <i>
      <x v="3"/>
    </i>
    <i>
      <x v="8"/>
    </i>
    <i>
      <x v="2"/>
    </i>
    <i>
      <x v="1"/>
    </i>
    <i>
      <x v="6"/>
    </i>
    <i>
      <x/>
    </i>
    <i>
      <x v="5"/>
    </i>
    <i>
      <x v="4"/>
    </i>
    <i>
      <x v="7"/>
    </i>
    <i t="grand">
      <x/>
    </i>
  </rowItems>
  <colItems count="1">
    <i/>
  </colItems>
  <dataFields count="1">
    <dataField name="Сумма по полю Кол-во" fld="2" baseField="0" baseItem="0"/>
  </dataFields>
  <formats count="43">
    <format dxfId="84">
      <pivotArea collapsedLevelsAreSubtotals="1" fieldPosition="0">
        <references count="1">
          <reference field="1" count="4">
            <x v="1"/>
            <x v="2"/>
            <x v="3"/>
            <x v="8"/>
          </reference>
        </references>
      </pivotArea>
    </format>
    <format dxfId="85">
      <pivotArea dataOnly="0" labelOnly="1" fieldPosition="0">
        <references count="1">
          <reference field="1" count="4">
            <x v="1"/>
            <x v="2"/>
            <x v="3"/>
            <x v="8"/>
          </reference>
        </references>
      </pivotArea>
    </format>
    <format dxfId="86">
      <pivotArea collapsedLevelsAreSubtotals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87">
      <pivotArea grandRow="1" outline="0" collapsedLevelsAreSubtotals="1" fieldPosition="0"/>
    </format>
    <format dxfId="88">
      <pivotArea dataOnly="0" labelOnly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89">
      <pivotArea dataOnly="0" labelOnly="1" grandRow="1" outline="0" fieldPosition="0"/>
    </format>
    <format dxfId="90">
      <pivotArea field="1" type="button" dataOnly="0" labelOnly="1" outline="0" fieldPosition="0"/>
    </format>
    <format dxfId="91">
      <pivotArea dataOnly="0" labelOnly="1" outline="0" fieldPosition="0"/>
    </format>
    <format dxfId="92">
      <pivotArea collapsedLevelsAreSubtotals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93">
      <pivotArea grandRow="1" outline="0" collapsedLevelsAreSubtotals="1" fieldPosition="0"/>
    </format>
    <format dxfId="94">
      <pivotArea dataOnly="0" labelOnly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95">
      <pivotArea dataOnly="0" labelOnly="1" grandRow="1" outline="0" fieldPosition="0"/>
    </format>
    <format dxfId="96">
      <pivotArea field="1" type="button" dataOnly="0" labelOnly="1" outline="0" fieldPosition="0"/>
    </format>
    <format dxfId="97">
      <pivotArea dataOnly="0" labelOnly="1" outline="0" fieldPosition="0"/>
    </format>
    <format dxfId="98">
      <pivotArea collapsedLevelsAreSubtotals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99">
      <pivotArea dataOnly="0" labelOnly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100">
      <pivotArea grandRow="1" outline="0" collapsedLevelsAreSubtotals="1" fieldPosition="0"/>
    </format>
    <format dxfId="101">
      <pivotArea dataOnly="0" labelOnly="1" grandRow="1" outline="0" fieldPosition="0"/>
    </format>
    <format dxfId="102">
      <pivotArea collapsedLevelsAreSubtotals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103">
      <pivotArea dataOnly="0" labelOnly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104">
      <pivotArea collapsedLevelsAreSubtotals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105">
      <pivotArea grandRow="1" outline="0" collapsedLevelsAreSubtotals="1" fieldPosition="0"/>
    </format>
    <format dxfId="106">
      <pivotArea dataOnly="0" labelOnly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107">
      <pivotArea dataOnly="0" labelOnly="1" grandRow="1" outline="0" fieldPosition="0"/>
    </format>
    <format dxfId="108">
      <pivotArea field="1" type="button" dataOnly="0" labelOnly="1" outline="0" fieldPosition="0"/>
    </format>
    <format dxfId="109">
      <pivotArea dataOnly="0" labelOnly="1" outline="0" fieldPosition="0"/>
    </format>
    <format dxfId="110">
      <pivotArea grandRow="1" outline="0" collapsedLevelsAreSubtotals="1" fieldPosition="0"/>
    </format>
    <format dxfId="111">
      <pivotArea dataOnly="0" labelOnly="1" grandRow="1" outline="0" fieldPosition="0"/>
    </format>
    <format dxfId="112">
      <pivotArea collapsedLevelsAreSubtotals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113">
      <pivotArea dataOnly="0" labelOnly="1" fieldPosition="0">
        <references count="1">
          <reference field="1" count="5">
            <x v="0"/>
            <x v="4"/>
            <x v="5"/>
            <x v="6"/>
            <x v="7"/>
          </reference>
        </references>
      </pivotArea>
    </format>
    <format dxfId="114">
      <pivotArea field="1" type="button" dataOnly="0" labelOnly="1" outline="0" fieldPosition="0"/>
    </format>
    <format dxfId="115">
      <pivotArea dataOnly="0" labelOnly="1" outline="0" fieldPosition="0"/>
    </format>
    <format dxfId="116">
      <pivotArea collapsedLevelsAreSubtotals="1" fieldPosition="0">
        <references count="1">
          <reference field="1" count="4">
            <x v="1"/>
            <x v="2"/>
            <x v="3"/>
            <x v="8"/>
          </reference>
        </references>
      </pivotArea>
    </format>
    <format dxfId="117">
      <pivotArea dataOnly="0" labelOnly="1" fieldPosition="0">
        <references count="1">
          <reference field="1" count="4">
            <x v="1"/>
            <x v="2"/>
            <x v="3"/>
            <x v="8"/>
          </reference>
        </references>
      </pivotArea>
    </format>
    <format dxfId="118">
      <pivotArea type="all" dataOnly="0" outline="0" fieldPosition="0"/>
    </format>
    <format dxfId="119">
      <pivotArea dataOnly="0" labelOnly="1" fieldPosition="0">
        <references count="1">
          <reference field="1" count="1">
            <x v="3"/>
          </reference>
        </references>
      </pivotArea>
    </format>
    <format dxfId="120">
      <pivotArea dataOnly="0" labelOnly="1" fieldPosition="0">
        <references count="1">
          <reference field="1" count="1">
            <x v="8"/>
          </reference>
        </references>
      </pivotArea>
    </format>
    <format dxfId="121">
      <pivotArea dataOnly="0" labelOnly="1" fieldPosition="0">
        <references count="1">
          <reference field="1" count="1">
            <x v="2"/>
          </reference>
        </references>
      </pivotArea>
    </format>
    <format dxfId="122">
      <pivotArea dataOnly="0" labelOnly="1" fieldPosition="0">
        <references count="1">
          <reference field="1" count="1">
            <x v="1"/>
          </reference>
        </references>
      </pivotArea>
    </format>
    <format dxfId="123">
      <pivotArea collapsedLevelsAreSubtotals="1" fieldPosition="0">
        <references count="1">
          <reference field="1" count="1" selected="0">
            <x v="3"/>
          </reference>
        </references>
      </pivotArea>
    </format>
    <format dxfId="124">
      <pivotArea collapsedLevelsAreSubtotals="1" fieldPosition="0">
        <references count="1">
          <reference field="1" count="1" selected="0">
            <x v="8"/>
          </reference>
        </references>
      </pivotArea>
    </format>
    <format dxfId="125">
      <pivotArea collapsedLevelsAreSubtotals="1" fieldPosition="0">
        <references count="1">
          <reference field="1" count="1" selected="0">
            <x v="2"/>
          </reference>
        </references>
      </pivotArea>
    </format>
    <format dxfId="126">
      <pivotArea collapsedLevelsAreSubtotals="1" fieldPosition="0">
        <references count="1">
          <reference field="1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11" cacheId="0" autoFormatId="1" applyNumberFormats="0" applyBorderFormats="0" applyFontFormats="0" applyPatternFormats="0" applyAlignmentFormats="0" applyWidthHeightFormats="1" dataCaption="Значения" updatedVersion="7" minRefreshableVersion="3" createdVersion="7" useAutoFormatting="1" indent="0" outline="1" outlineData="1" showDrill="1" multipleFieldFilters="0">
  <location ref="A1:B12" firstHeaderRow="1" firstDataRow="1" firstDataCol="1"/>
  <pivotFields count="4">
    <pivotField showAll="0">
      <items count="5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11">
        <item x="3"/>
        <item x="8"/>
        <item x="7"/>
        <item x="4"/>
        <item x="5"/>
        <item x="1"/>
        <item x="0"/>
        <item x="2"/>
        <item x="9"/>
        <item x="6"/>
        <item t="default"/>
      </items>
    </pivotField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Сумма по полю Кол-во" fld="3" baseField="0" baseItem="0"/>
  </dataFields>
  <formats count="28">
    <format dxfId="127">
      <pivotArea collapsedLevelsAreSubtotals="1" fieldPosition="0">
        <references count="1">
          <reference field="2" count="0"/>
        </references>
      </pivotArea>
    </format>
    <format dxfId="128">
      <pivotArea dataOnly="0" labelOnly="1" fieldPosition="0">
        <references count="1">
          <reference field="2" count="0"/>
        </references>
      </pivotArea>
    </format>
    <format dxfId="129">
      <pivotArea field="2" type="button" dataOnly="0" labelOnly="1" outline="0" fieldPosition="0"/>
    </format>
    <format dxfId="130">
      <pivotArea dataOnly="0" labelOnly="1" outline="0" fieldPosition="0"/>
    </format>
    <format dxfId="131">
      <pivotArea dataOnly="0" labelOnly="1" grandRow="1" outline="0" fieldPosition="0"/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field="2" type="button" dataOnly="0" labelOnly="1" outline="0" fieldPosition="0"/>
    </format>
    <format dxfId="135">
      <pivotArea dataOnly="0" labelOnly="1" fieldPosition="0">
        <references count="1">
          <reference field="2" count="0"/>
        </references>
      </pivotArea>
    </format>
    <format dxfId="136">
      <pivotArea dataOnly="0" labelOnly="1" grandRow="1" outline="0" fieldPosition="0"/>
    </format>
    <format dxfId="137">
      <pivotArea dataOnly="0" labelOnly="1" outline="0" fieldPosition="0"/>
    </format>
    <format dxfId="138">
      <pivotArea type="all" dataOnly="0" outline="0" fieldPosition="0"/>
    </format>
    <format dxfId="139">
      <pivotArea outline="0" collapsedLevelsAreSubtotals="1" fieldPosition="0"/>
    </format>
    <format dxfId="140">
      <pivotArea field="2" type="button" dataOnly="0" labelOnly="1" outline="0" fieldPosition="0"/>
    </format>
    <format dxfId="141">
      <pivotArea dataOnly="0" labelOnly="1" fieldPosition="0">
        <references count="1">
          <reference field="2" count="0"/>
        </references>
      </pivotArea>
    </format>
    <format dxfId="142">
      <pivotArea dataOnly="0" labelOnly="1" grandRow="1" outline="0" fieldPosition="0"/>
    </format>
    <format dxfId="143">
      <pivotArea dataOnly="0" labelOnly="1" outline="0" fieldPosition="0"/>
    </format>
    <format dxfId="144">
      <pivotArea collapsedLevelsAreSubtotals="1" fieldPosition="0">
        <references count="1">
          <reference field="2" count="0"/>
        </references>
      </pivotArea>
    </format>
    <format dxfId="145">
      <pivotArea dataOnly="0" labelOnly="1" fieldPosition="0">
        <references count="1">
          <reference field="2" count="0"/>
        </references>
      </pivotArea>
    </format>
    <format dxfId="146">
      <pivotArea collapsedLevelsAreSubtotals="1" fieldPosition="0">
        <references count="1">
          <reference field="2" count="0"/>
        </references>
      </pivotArea>
    </format>
    <format dxfId="147">
      <pivotArea dataOnly="0" labelOnly="1" fieldPosition="0">
        <references count="1">
          <reference field="2" count="0"/>
        </references>
      </pivotArea>
    </format>
    <format dxfId="148">
      <pivotArea grandRow="1" outline="0" collapsedLevelsAreSubtotals="1" fieldPosition="0"/>
    </format>
    <format dxfId="149">
      <pivotArea dataOnly="0" labelOnly="1" grandRow="1" outline="0" fieldPosition="0"/>
    </format>
    <format dxfId="150">
      <pivotArea collapsedLevelsAreSubtotals="1" fieldPosition="0">
        <references count="1">
          <reference field="2" count="0"/>
        </references>
      </pivotArea>
    </format>
    <format dxfId="151">
      <pivotArea dataOnly="0" labelOnly="1" fieldPosition="0">
        <references count="1">
          <reference field="2" count="0"/>
        </references>
      </pivotArea>
    </format>
    <format dxfId="152">
      <pivotArea field="2" type="button" dataOnly="0" labelOnly="1" outline="0" fieldPosition="0"/>
    </format>
    <format dxfId="153">
      <pivotArea dataOnly="0" labelOnly="1" outline="0" fieldPosition="0"/>
    </format>
    <format dxfId="15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D750" totalsRowShown="0">
  <autoFilter xmlns:etc="http://www.wps.cn/officeDocument/2017/etCustomData" ref="A1:D750" etc:filterBottomFollowUsedRange="0">
    <filterColumn colId="3">
      <filters>
        <filter val="Ср"/>
        <filter val="Вт"/>
        <filter val="Пт"/>
        <filter val="Чт"/>
        <filter val="Пн"/>
      </filters>
    </filterColumn>
  </autoFilter>
  <tableColumns count="4">
    <tableColumn id="1" name="Дата" dataDxfId="155"/>
    <tableColumn id="2" name="Транзакция" dataDxfId="156"/>
    <tableColumn id="3" name="Кол-во" dataDxfId="157"/>
    <tableColumn id="4" name="День нед." dataDxfId="158">
      <calculatedColumnFormula>CHOOSE(WEEKDAY(DATE(VALUE(LEFT(A2,4)),VALUE(MID(A2,6,2)),VALUE(MID(A2,9,2))),2),"Пн","Вт","Ср","Чт","Пт","Сб","Вс")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zoomScale="89" zoomScaleNormal="89" workbookViewId="0">
      <selection activeCell="F3" sqref="F3"/>
    </sheetView>
  </sheetViews>
  <sheetFormatPr defaultColWidth="9" defaultRowHeight="14.4" outlineLevelCol="6"/>
  <cols>
    <col min="1" max="1" width="13" style="11" customWidth="1"/>
    <col min="2" max="2" width="13.2222222222222" style="11" customWidth="1"/>
    <col min="3" max="3" width="8.88888888888889" style="11" customWidth="1"/>
    <col min="4" max="4" width="10.1111111111111" style="11" customWidth="1"/>
    <col min="5" max="16384" width="9" style="11"/>
  </cols>
  <sheetData>
    <row r="1" ht="15.15" spans="1:7">
      <c r="A1" s="81" t="s">
        <v>0</v>
      </c>
      <c r="B1" s="82" t="s">
        <v>1</v>
      </c>
      <c r="C1" s="82" t="s">
        <v>2</v>
      </c>
      <c r="D1" s="83" t="s">
        <v>3</v>
      </c>
      <c r="E1" s="113"/>
      <c r="F1" s="114"/>
      <c r="G1" s="114"/>
    </row>
    <row r="2" spans="1:4">
      <c r="A2" s="84" t="s">
        <v>4</v>
      </c>
      <c r="B2" s="85" t="s">
        <v>5</v>
      </c>
      <c r="C2" s="85">
        <v>156</v>
      </c>
      <c r="D2" s="65" t="str">
        <f t="shared" ref="D2:D65" si="0">CHOOSE(WEEKDAY(DATE(VALUE(LEFT(A2,4)),VALUE(MID(A2,6,2)),VALUE(MID(A2,9,2))),2),"Пн","Вт","Ср","Чт","Пт","Сб","Вс")</f>
        <v>Вт</v>
      </c>
    </row>
    <row r="3" spans="1:4">
      <c r="A3" s="87" t="s">
        <v>6</v>
      </c>
      <c r="B3" s="88" t="s">
        <v>7</v>
      </c>
      <c r="C3" s="115">
        <v>237</v>
      </c>
      <c r="D3" s="116" t="str">
        <f t="shared" si="0"/>
        <v>Вт</v>
      </c>
    </row>
    <row r="4" spans="1:4">
      <c r="A4" s="87" t="s">
        <v>8</v>
      </c>
      <c r="B4" s="88" t="s">
        <v>9</v>
      </c>
      <c r="C4" s="88">
        <v>191</v>
      </c>
      <c r="D4" s="117" t="str">
        <f t="shared" si="0"/>
        <v>Вт</v>
      </c>
    </row>
    <row r="5" spans="1:4">
      <c r="A5" s="87" t="s">
        <v>10</v>
      </c>
      <c r="B5" s="88" t="s">
        <v>11</v>
      </c>
      <c r="C5" s="88">
        <v>296</v>
      </c>
      <c r="D5" s="89" t="str">
        <f t="shared" si="0"/>
        <v>Вт</v>
      </c>
    </row>
    <row r="6" spans="1:4">
      <c r="A6" s="87" t="s">
        <v>12</v>
      </c>
      <c r="B6" s="88" t="s">
        <v>13</v>
      </c>
      <c r="C6" s="88">
        <v>42</v>
      </c>
      <c r="D6" s="89" t="str">
        <f t="shared" si="0"/>
        <v>Вт</v>
      </c>
    </row>
    <row r="7" spans="1:4">
      <c r="A7" s="87" t="s">
        <v>14</v>
      </c>
      <c r="B7" s="88" t="s">
        <v>15</v>
      </c>
      <c r="C7" s="88">
        <v>64</v>
      </c>
      <c r="D7" s="89" t="str">
        <f t="shared" si="0"/>
        <v>Вт</v>
      </c>
    </row>
    <row r="8" spans="1:4">
      <c r="A8" s="87" t="s">
        <v>16</v>
      </c>
      <c r="B8" s="88" t="s">
        <v>17</v>
      </c>
      <c r="C8" s="88">
        <v>639</v>
      </c>
      <c r="D8" s="89" t="str">
        <f t="shared" si="0"/>
        <v>Вт</v>
      </c>
    </row>
    <row r="9" spans="1:4">
      <c r="A9" s="87" t="s">
        <v>18</v>
      </c>
      <c r="B9" s="88" t="s">
        <v>19</v>
      </c>
      <c r="C9" s="88">
        <v>472</v>
      </c>
      <c r="D9" s="89" t="str">
        <f t="shared" si="0"/>
        <v>Вт</v>
      </c>
    </row>
    <row r="10" spans="1:4">
      <c r="A10" s="87" t="s">
        <v>20</v>
      </c>
      <c r="B10" s="88" t="s">
        <v>21</v>
      </c>
      <c r="C10" s="88">
        <v>422</v>
      </c>
      <c r="D10" s="89" t="str">
        <f t="shared" si="0"/>
        <v>Вт</v>
      </c>
    </row>
    <row r="11" spans="1:4">
      <c r="A11" s="87" t="s">
        <v>22</v>
      </c>
      <c r="B11" s="88" t="s">
        <v>23</v>
      </c>
      <c r="C11" s="88">
        <v>319</v>
      </c>
      <c r="D11" s="89" t="str">
        <f t="shared" si="0"/>
        <v>Вт</v>
      </c>
    </row>
    <row r="12" spans="1:4">
      <c r="A12" s="87" t="s">
        <v>24</v>
      </c>
      <c r="B12" s="88" t="s">
        <v>5</v>
      </c>
      <c r="C12" s="88">
        <v>102</v>
      </c>
      <c r="D12" s="89" t="str">
        <f t="shared" si="0"/>
        <v>Вт</v>
      </c>
    </row>
    <row r="13" spans="1:4">
      <c r="A13" s="87" t="s">
        <v>25</v>
      </c>
      <c r="B13" s="88" t="s">
        <v>7</v>
      </c>
      <c r="C13" s="88">
        <v>580</v>
      </c>
      <c r="D13" s="89" t="str">
        <f t="shared" si="0"/>
        <v>Вт</v>
      </c>
    </row>
    <row r="14" spans="1:4">
      <c r="A14" s="87" t="s">
        <v>26</v>
      </c>
      <c r="B14" s="88" t="s">
        <v>9</v>
      </c>
      <c r="C14" s="88">
        <v>215</v>
      </c>
      <c r="D14" s="89" t="str">
        <f t="shared" si="0"/>
        <v>Вт</v>
      </c>
    </row>
    <row r="15" spans="1:4">
      <c r="A15" s="87" t="s">
        <v>27</v>
      </c>
      <c r="B15" s="88" t="s">
        <v>11</v>
      </c>
      <c r="C15" s="88">
        <v>375</v>
      </c>
      <c r="D15" s="89" t="str">
        <f t="shared" si="0"/>
        <v>Вт</v>
      </c>
    </row>
    <row r="16" spans="1:4">
      <c r="A16" s="87" t="s">
        <v>28</v>
      </c>
      <c r="B16" s="88" t="s">
        <v>13</v>
      </c>
      <c r="C16" s="88">
        <v>21</v>
      </c>
      <c r="D16" s="89" t="str">
        <f t="shared" si="0"/>
        <v>Вт</v>
      </c>
    </row>
    <row r="17" spans="1:4">
      <c r="A17" s="87" t="s">
        <v>29</v>
      </c>
      <c r="B17" s="88" t="s">
        <v>15</v>
      </c>
      <c r="C17" s="88">
        <v>92</v>
      </c>
      <c r="D17" s="89" t="str">
        <f t="shared" si="0"/>
        <v>Вт</v>
      </c>
    </row>
    <row r="18" spans="1:4">
      <c r="A18" s="87" t="s">
        <v>30</v>
      </c>
      <c r="B18" s="88" t="s">
        <v>17</v>
      </c>
      <c r="C18" s="88">
        <v>529</v>
      </c>
      <c r="D18" s="89" t="str">
        <f t="shared" si="0"/>
        <v>Вт</v>
      </c>
    </row>
    <row r="19" spans="1:4">
      <c r="A19" s="87" t="s">
        <v>31</v>
      </c>
      <c r="B19" s="88" t="s">
        <v>19</v>
      </c>
      <c r="C19" s="88">
        <v>582</v>
      </c>
      <c r="D19" s="89" t="str">
        <f t="shared" si="0"/>
        <v>Вт</v>
      </c>
    </row>
    <row r="20" spans="1:4">
      <c r="A20" s="87" t="s">
        <v>32</v>
      </c>
      <c r="B20" s="88" t="s">
        <v>21</v>
      </c>
      <c r="C20" s="88">
        <v>621</v>
      </c>
      <c r="D20" s="89" t="str">
        <f t="shared" si="0"/>
        <v>Вт</v>
      </c>
    </row>
    <row r="21" spans="1:4">
      <c r="A21" s="87" t="s">
        <v>33</v>
      </c>
      <c r="B21" s="88" t="s">
        <v>23</v>
      </c>
      <c r="C21" s="88">
        <v>166</v>
      </c>
      <c r="D21" s="89" t="str">
        <f t="shared" si="0"/>
        <v>Вт</v>
      </c>
    </row>
    <row r="22" spans="1:4">
      <c r="A22" s="87" t="s">
        <v>34</v>
      </c>
      <c r="B22" s="88" t="s">
        <v>5</v>
      </c>
      <c r="C22" s="88">
        <v>29</v>
      </c>
      <c r="D22" s="89" t="str">
        <f t="shared" si="0"/>
        <v>Вт</v>
      </c>
    </row>
    <row r="23" spans="1:4">
      <c r="A23" s="87" t="s">
        <v>35</v>
      </c>
      <c r="B23" s="88" t="s">
        <v>7</v>
      </c>
      <c r="C23" s="88">
        <v>610</v>
      </c>
      <c r="D23" s="89" t="str">
        <f t="shared" si="0"/>
        <v>Вт</v>
      </c>
    </row>
    <row r="24" spans="1:4">
      <c r="A24" s="87" t="s">
        <v>36</v>
      </c>
      <c r="B24" s="88" t="s">
        <v>9</v>
      </c>
      <c r="C24" s="88">
        <v>458</v>
      </c>
      <c r="D24" s="89" t="str">
        <f t="shared" si="0"/>
        <v>Вт</v>
      </c>
    </row>
    <row r="25" spans="1:4">
      <c r="A25" s="87" t="s">
        <v>37</v>
      </c>
      <c r="B25" s="88" t="s">
        <v>11</v>
      </c>
      <c r="C25" s="88">
        <v>603</v>
      </c>
      <c r="D25" s="89" t="str">
        <f t="shared" si="0"/>
        <v>Вт</v>
      </c>
    </row>
    <row r="26" spans="1:4">
      <c r="A26" s="87" t="s">
        <v>38</v>
      </c>
      <c r="B26" s="88" t="s">
        <v>13</v>
      </c>
      <c r="C26" s="88">
        <v>598</v>
      </c>
      <c r="D26" s="89" t="str">
        <f t="shared" si="0"/>
        <v>Ср</v>
      </c>
    </row>
    <row r="27" spans="1:4">
      <c r="A27" s="87" t="s">
        <v>39</v>
      </c>
      <c r="B27" s="88" t="s">
        <v>15</v>
      </c>
      <c r="C27" s="88">
        <v>211</v>
      </c>
      <c r="D27" s="89" t="str">
        <f t="shared" si="0"/>
        <v>Ср</v>
      </c>
    </row>
    <row r="28" spans="1:4">
      <c r="A28" s="87" t="s">
        <v>40</v>
      </c>
      <c r="B28" s="88" t="s">
        <v>17</v>
      </c>
      <c r="C28" s="88">
        <v>101</v>
      </c>
      <c r="D28" s="89" t="str">
        <f t="shared" si="0"/>
        <v>Ср</v>
      </c>
    </row>
    <row r="29" spans="1:4">
      <c r="A29" s="87" t="s">
        <v>41</v>
      </c>
      <c r="B29" s="88" t="s">
        <v>19</v>
      </c>
      <c r="C29" s="88">
        <v>146</v>
      </c>
      <c r="D29" s="89" t="str">
        <f t="shared" si="0"/>
        <v>Ср</v>
      </c>
    </row>
    <row r="30" spans="1:4">
      <c r="A30" s="87" t="s">
        <v>42</v>
      </c>
      <c r="B30" s="88" t="s">
        <v>21</v>
      </c>
      <c r="C30" s="88">
        <v>138</v>
      </c>
      <c r="D30" s="89" t="str">
        <f t="shared" si="0"/>
        <v>Ср</v>
      </c>
    </row>
    <row r="31" spans="1:4">
      <c r="A31" s="87" t="s">
        <v>43</v>
      </c>
      <c r="B31" s="88" t="s">
        <v>23</v>
      </c>
      <c r="C31" s="88">
        <v>304</v>
      </c>
      <c r="D31" s="89" t="str">
        <f t="shared" si="0"/>
        <v>Ср</v>
      </c>
    </row>
    <row r="32" spans="1:4">
      <c r="A32" s="87" t="s">
        <v>44</v>
      </c>
      <c r="B32" s="88" t="s">
        <v>5</v>
      </c>
      <c r="C32" s="88">
        <v>150</v>
      </c>
      <c r="D32" s="89" t="str">
        <f t="shared" si="0"/>
        <v>Ср</v>
      </c>
    </row>
    <row r="33" spans="1:4">
      <c r="A33" s="87" t="s">
        <v>45</v>
      </c>
      <c r="B33" s="88" t="s">
        <v>7</v>
      </c>
      <c r="C33" s="88">
        <v>545</v>
      </c>
      <c r="D33" s="89" t="str">
        <f t="shared" si="0"/>
        <v>Ср</v>
      </c>
    </row>
    <row r="34" spans="1:4">
      <c r="A34" s="87" t="s">
        <v>46</v>
      </c>
      <c r="B34" s="88" t="s">
        <v>9</v>
      </c>
      <c r="C34" s="88">
        <v>506</v>
      </c>
      <c r="D34" s="89" t="str">
        <f t="shared" si="0"/>
        <v>Ср</v>
      </c>
    </row>
    <row r="35" spans="1:4">
      <c r="A35" s="87" t="s">
        <v>47</v>
      </c>
      <c r="B35" s="88" t="s">
        <v>11</v>
      </c>
      <c r="C35" s="88">
        <v>219</v>
      </c>
      <c r="D35" s="89" t="str">
        <f t="shared" si="0"/>
        <v>Ср</v>
      </c>
    </row>
    <row r="36" spans="1:4">
      <c r="A36" s="87" t="s">
        <v>48</v>
      </c>
      <c r="B36" s="88" t="s">
        <v>13</v>
      </c>
      <c r="C36" s="88">
        <v>91</v>
      </c>
      <c r="D36" s="89" t="str">
        <f t="shared" si="0"/>
        <v>Ср</v>
      </c>
    </row>
    <row r="37" spans="1:4">
      <c r="A37" s="87" t="s">
        <v>49</v>
      </c>
      <c r="B37" s="88" t="s">
        <v>15</v>
      </c>
      <c r="C37" s="88">
        <v>55</v>
      </c>
      <c r="D37" s="89" t="str">
        <f t="shared" si="0"/>
        <v>Ср</v>
      </c>
    </row>
    <row r="38" spans="1:4">
      <c r="A38" s="87" t="s">
        <v>50</v>
      </c>
      <c r="B38" s="88" t="s">
        <v>17</v>
      </c>
      <c r="C38" s="88">
        <v>403</v>
      </c>
      <c r="D38" s="89" t="str">
        <f t="shared" si="0"/>
        <v>Ср</v>
      </c>
    </row>
    <row r="39" spans="1:4">
      <c r="A39" s="87" t="s">
        <v>51</v>
      </c>
      <c r="B39" s="88" t="s">
        <v>19</v>
      </c>
      <c r="C39" s="88">
        <v>516</v>
      </c>
      <c r="D39" s="89" t="str">
        <f t="shared" si="0"/>
        <v>Ср</v>
      </c>
    </row>
    <row r="40" spans="1:4">
      <c r="A40" s="87" t="s">
        <v>52</v>
      </c>
      <c r="B40" s="88" t="s">
        <v>21</v>
      </c>
      <c r="C40" s="88">
        <v>284</v>
      </c>
      <c r="D40" s="89" t="str">
        <f t="shared" si="0"/>
        <v>Ср</v>
      </c>
    </row>
    <row r="41" spans="1:4">
      <c r="A41" s="87" t="s">
        <v>53</v>
      </c>
      <c r="B41" s="88" t="s">
        <v>23</v>
      </c>
      <c r="C41" s="88">
        <v>287</v>
      </c>
      <c r="D41" s="89" t="str">
        <f t="shared" si="0"/>
        <v>Ср</v>
      </c>
    </row>
    <row r="42" spans="1:4">
      <c r="A42" s="87" t="s">
        <v>54</v>
      </c>
      <c r="B42" s="88" t="s">
        <v>5</v>
      </c>
      <c r="C42" s="88">
        <v>257</v>
      </c>
      <c r="D42" s="89" t="str">
        <f t="shared" si="0"/>
        <v>Ср</v>
      </c>
    </row>
    <row r="43" spans="1:4">
      <c r="A43" s="87" t="s">
        <v>55</v>
      </c>
      <c r="B43" s="88" t="s">
        <v>7</v>
      </c>
      <c r="C43" s="88">
        <v>444</v>
      </c>
      <c r="D43" s="89" t="str">
        <f t="shared" si="0"/>
        <v>Ср</v>
      </c>
    </row>
    <row r="44" spans="1:4">
      <c r="A44" s="87" t="s">
        <v>56</v>
      </c>
      <c r="B44" s="88" t="s">
        <v>9</v>
      </c>
      <c r="C44" s="88">
        <v>410</v>
      </c>
      <c r="D44" s="89" t="str">
        <f t="shared" si="0"/>
        <v>Ср</v>
      </c>
    </row>
    <row r="45" spans="1:4">
      <c r="A45" s="87" t="s">
        <v>57</v>
      </c>
      <c r="B45" s="88" t="s">
        <v>11</v>
      </c>
      <c r="C45" s="88">
        <v>617</v>
      </c>
      <c r="D45" s="89" t="str">
        <f t="shared" si="0"/>
        <v>Ср</v>
      </c>
    </row>
    <row r="46" spans="1:4">
      <c r="A46" s="87" t="s">
        <v>58</v>
      </c>
      <c r="B46" s="88" t="s">
        <v>13</v>
      </c>
      <c r="C46" s="88">
        <v>611</v>
      </c>
      <c r="D46" s="89" t="str">
        <f t="shared" si="0"/>
        <v>Ср</v>
      </c>
    </row>
    <row r="47" spans="1:4">
      <c r="A47" s="87" t="s">
        <v>59</v>
      </c>
      <c r="B47" s="88" t="s">
        <v>15</v>
      </c>
      <c r="C47" s="88">
        <v>240</v>
      </c>
      <c r="D47" s="89" t="str">
        <f t="shared" si="0"/>
        <v>Ср</v>
      </c>
    </row>
    <row r="48" spans="1:4">
      <c r="A48" s="87" t="s">
        <v>60</v>
      </c>
      <c r="B48" s="88" t="s">
        <v>17</v>
      </c>
      <c r="C48" s="88">
        <v>129</v>
      </c>
      <c r="D48" s="89" t="str">
        <f t="shared" si="0"/>
        <v>Ср</v>
      </c>
    </row>
    <row r="49" spans="1:4">
      <c r="A49" s="87" t="s">
        <v>61</v>
      </c>
      <c r="B49" s="88" t="s">
        <v>19</v>
      </c>
      <c r="C49" s="88">
        <v>504</v>
      </c>
      <c r="D49" s="89" t="str">
        <f t="shared" si="0"/>
        <v>Ср</v>
      </c>
    </row>
    <row r="50" spans="1:4">
      <c r="A50" s="87" t="s">
        <v>62</v>
      </c>
      <c r="B50" s="88" t="s">
        <v>21</v>
      </c>
      <c r="C50" s="88">
        <v>409</v>
      </c>
      <c r="D50" s="89" t="str">
        <f t="shared" si="0"/>
        <v>Чт</v>
      </c>
    </row>
    <row r="51" spans="1:4">
      <c r="A51" s="87" t="s">
        <v>63</v>
      </c>
      <c r="B51" s="88" t="s">
        <v>5</v>
      </c>
      <c r="C51" s="88">
        <v>333</v>
      </c>
      <c r="D51" s="89" t="str">
        <f t="shared" si="0"/>
        <v>Чт</v>
      </c>
    </row>
    <row r="52" spans="1:4">
      <c r="A52" s="87" t="s">
        <v>64</v>
      </c>
      <c r="B52" s="88" t="s">
        <v>7</v>
      </c>
      <c r="C52" s="88">
        <v>186</v>
      </c>
      <c r="D52" s="89" t="str">
        <f t="shared" si="0"/>
        <v>Чт</v>
      </c>
    </row>
    <row r="53" spans="1:4">
      <c r="A53" s="87" t="s">
        <v>65</v>
      </c>
      <c r="B53" s="88" t="s">
        <v>9</v>
      </c>
      <c r="C53" s="88">
        <v>354</v>
      </c>
      <c r="D53" s="89" t="str">
        <f t="shared" si="0"/>
        <v>Чт</v>
      </c>
    </row>
    <row r="54" spans="1:4">
      <c r="A54" s="87" t="s">
        <v>66</v>
      </c>
      <c r="B54" s="88" t="s">
        <v>11</v>
      </c>
      <c r="C54" s="88">
        <v>470</v>
      </c>
      <c r="D54" s="89" t="str">
        <f t="shared" si="0"/>
        <v>Чт</v>
      </c>
    </row>
    <row r="55" spans="1:4">
      <c r="A55" s="87" t="s">
        <v>67</v>
      </c>
      <c r="B55" s="88" t="s">
        <v>13</v>
      </c>
      <c r="C55" s="88">
        <v>175</v>
      </c>
      <c r="D55" s="89" t="str">
        <f t="shared" si="0"/>
        <v>Чт</v>
      </c>
    </row>
    <row r="56" spans="1:4">
      <c r="A56" s="87" t="s">
        <v>68</v>
      </c>
      <c r="B56" s="88" t="s">
        <v>15</v>
      </c>
      <c r="C56" s="88">
        <v>290</v>
      </c>
      <c r="D56" s="89" t="str">
        <f t="shared" si="0"/>
        <v>Чт</v>
      </c>
    </row>
    <row r="57" spans="1:4">
      <c r="A57" s="87" t="s">
        <v>69</v>
      </c>
      <c r="B57" s="88" t="s">
        <v>17</v>
      </c>
      <c r="C57" s="88">
        <v>174</v>
      </c>
      <c r="D57" s="89" t="str">
        <f t="shared" si="0"/>
        <v>Чт</v>
      </c>
    </row>
    <row r="58" spans="1:4">
      <c r="A58" s="87" t="s">
        <v>70</v>
      </c>
      <c r="B58" s="88" t="s">
        <v>19</v>
      </c>
      <c r="C58" s="88">
        <v>76</v>
      </c>
      <c r="D58" s="89" t="str">
        <f t="shared" si="0"/>
        <v>Чт</v>
      </c>
    </row>
    <row r="59" spans="1:4">
      <c r="A59" s="87" t="s">
        <v>71</v>
      </c>
      <c r="B59" s="88" t="s">
        <v>21</v>
      </c>
      <c r="C59" s="88">
        <v>162</v>
      </c>
      <c r="D59" s="89" t="str">
        <f t="shared" si="0"/>
        <v>Чт</v>
      </c>
    </row>
    <row r="60" spans="1:4">
      <c r="A60" s="87" t="s">
        <v>72</v>
      </c>
      <c r="B60" s="88" t="s">
        <v>23</v>
      </c>
      <c r="C60" s="88">
        <v>182</v>
      </c>
      <c r="D60" s="89" t="str">
        <f t="shared" si="0"/>
        <v>Чт</v>
      </c>
    </row>
    <row r="61" spans="1:4">
      <c r="A61" s="87" t="s">
        <v>73</v>
      </c>
      <c r="B61" s="88" t="s">
        <v>5</v>
      </c>
      <c r="C61" s="88">
        <v>248</v>
      </c>
      <c r="D61" s="89" t="str">
        <f t="shared" si="0"/>
        <v>Чт</v>
      </c>
    </row>
    <row r="62" spans="1:4">
      <c r="A62" s="87" t="s">
        <v>74</v>
      </c>
      <c r="B62" s="88" t="s">
        <v>7</v>
      </c>
      <c r="C62" s="88">
        <v>423</v>
      </c>
      <c r="D62" s="89" t="str">
        <f t="shared" si="0"/>
        <v>Чт</v>
      </c>
    </row>
    <row r="63" spans="1:4">
      <c r="A63" s="87" t="s">
        <v>75</v>
      </c>
      <c r="B63" s="88" t="s">
        <v>9</v>
      </c>
      <c r="C63" s="88">
        <v>178</v>
      </c>
      <c r="D63" s="89" t="str">
        <f t="shared" si="0"/>
        <v>Чт</v>
      </c>
    </row>
    <row r="64" spans="1:4">
      <c r="A64" s="87" t="s">
        <v>76</v>
      </c>
      <c r="B64" s="88" t="s">
        <v>11</v>
      </c>
      <c r="C64" s="88">
        <v>550</v>
      </c>
      <c r="D64" s="89" t="str">
        <f t="shared" si="0"/>
        <v>Чт</v>
      </c>
    </row>
    <row r="65" spans="1:4">
      <c r="A65" s="87" t="s">
        <v>77</v>
      </c>
      <c r="B65" s="88" t="s">
        <v>13</v>
      </c>
      <c r="C65" s="88">
        <v>474</v>
      </c>
      <c r="D65" s="89" t="str">
        <f t="shared" si="0"/>
        <v>Чт</v>
      </c>
    </row>
    <row r="66" spans="1:4">
      <c r="A66" s="87" t="s">
        <v>78</v>
      </c>
      <c r="B66" s="88" t="s">
        <v>15</v>
      </c>
      <c r="C66" s="88">
        <v>575</v>
      </c>
      <c r="D66" s="89" t="str">
        <f t="shared" ref="D66:D129" si="1">CHOOSE(WEEKDAY(DATE(VALUE(LEFT(A66,4)),VALUE(MID(A66,6,2)),VALUE(MID(A66,9,2))),2),"Пн","Вт","Ср","Чт","Пт","Сб","Вс")</f>
        <v>Чт</v>
      </c>
    </row>
    <row r="67" spans="1:4">
      <c r="A67" s="87" t="s">
        <v>79</v>
      </c>
      <c r="B67" s="88" t="s">
        <v>17</v>
      </c>
      <c r="C67" s="88">
        <v>385</v>
      </c>
      <c r="D67" s="89" t="str">
        <f t="shared" si="1"/>
        <v>Чт</v>
      </c>
    </row>
    <row r="68" spans="1:4">
      <c r="A68" s="87" t="s">
        <v>80</v>
      </c>
      <c r="B68" s="88" t="s">
        <v>19</v>
      </c>
      <c r="C68" s="88">
        <v>238</v>
      </c>
      <c r="D68" s="89" t="str">
        <f t="shared" si="1"/>
        <v>Чт</v>
      </c>
    </row>
    <row r="69" spans="1:4">
      <c r="A69" s="87" t="s">
        <v>81</v>
      </c>
      <c r="B69" s="88" t="s">
        <v>21</v>
      </c>
      <c r="C69" s="88">
        <v>326</v>
      </c>
      <c r="D69" s="89" t="str">
        <f t="shared" si="1"/>
        <v>Чт</v>
      </c>
    </row>
    <row r="70" spans="1:4">
      <c r="A70" s="87" t="s">
        <v>82</v>
      </c>
      <c r="B70" s="88" t="s">
        <v>23</v>
      </c>
      <c r="C70" s="88">
        <v>246</v>
      </c>
      <c r="D70" s="89" t="str">
        <f t="shared" si="1"/>
        <v>Чт</v>
      </c>
    </row>
    <row r="71" spans="1:4">
      <c r="A71" s="87" t="s">
        <v>83</v>
      </c>
      <c r="B71" s="88" t="s">
        <v>5</v>
      </c>
      <c r="C71" s="88">
        <v>344</v>
      </c>
      <c r="D71" s="89" t="str">
        <f t="shared" si="1"/>
        <v>Чт</v>
      </c>
    </row>
    <row r="72" spans="1:4">
      <c r="A72" s="87" t="s">
        <v>84</v>
      </c>
      <c r="B72" s="88" t="s">
        <v>7</v>
      </c>
      <c r="C72" s="88">
        <v>594</v>
      </c>
      <c r="D72" s="89" t="str">
        <f t="shared" si="1"/>
        <v>Чт</v>
      </c>
    </row>
    <row r="73" spans="1:4">
      <c r="A73" s="87" t="s">
        <v>85</v>
      </c>
      <c r="B73" s="88" t="s">
        <v>9</v>
      </c>
      <c r="C73" s="88">
        <v>856</v>
      </c>
      <c r="D73" s="89" t="str">
        <f t="shared" si="1"/>
        <v>Чт</v>
      </c>
    </row>
    <row r="74" spans="1:4">
      <c r="A74" s="87" t="s">
        <v>86</v>
      </c>
      <c r="B74" s="88" t="s">
        <v>23</v>
      </c>
      <c r="C74" s="88">
        <v>503</v>
      </c>
      <c r="D74" s="89" t="str">
        <f t="shared" si="1"/>
        <v>Пт</v>
      </c>
    </row>
    <row r="75" spans="1:4">
      <c r="A75" s="87" t="s">
        <v>87</v>
      </c>
      <c r="B75" s="88" t="s">
        <v>5</v>
      </c>
      <c r="C75" s="88">
        <v>62</v>
      </c>
      <c r="D75" s="89" t="str">
        <f t="shared" si="1"/>
        <v>Пт</v>
      </c>
    </row>
    <row r="76" spans="1:4">
      <c r="A76" s="87" t="s">
        <v>88</v>
      </c>
      <c r="B76" s="88" t="s">
        <v>7</v>
      </c>
      <c r="C76" s="88">
        <v>41</v>
      </c>
      <c r="D76" s="89" t="str">
        <f t="shared" si="1"/>
        <v>Пт</v>
      </c>
    </row>
    <row r="77" spans="1:4">
      <c r="A77" s="87" t="s">
        <v>89</v>
      </c>
      <c r="B77" s="88" t="s">
        <v>9</v>
      </c>
      <c r="C77" s="88">
        <v>635</v>
      </c>
      <c r="D77" s="89" t="str">
        <f t="shared" si="1"/>
        <v>Пт</v>
      </c>
    </row>
    <row r="78" spans="1:4">
      <c r="A78" s="87" t="s">
        <v>90</v>
      </c>
      <c r="B78" s="88" t="s">
        <v>11</v>
      </c>
      <c r="C78" s="88">
        <v>6</v>
      </c>
      <c r="D78" s="89" t="str">
        <f t="shared" si="1"/>
        <v>Пт</v>
      </c>
    </row>
    <row r="79" spans="1:4">
      <c r="A79" s="87" t="s">
        <v>91</v>
      </c>
      <c r="B79" s="88" t="s">
        <v>13</v>
      </c>
      <c r="C79" s="88">
        <v>23</v>
      </c>
      <c r="D79" s="89" t="str">
        <f t="shared" si="1"/>
        <v>Пт</v>
      </c>
    </row>
    <row r="80" spans="1:4">
      <c r="A80" s="87" t="s">
        <v>92</v>
      </c>
      <c r="B80" s="88" t="s">
        <v>15</v>
      </c>
      <c r="C80" s="88">
        <v>271</v>
      </c>
      <c r="D80" s="89" t="str">
        <f t="shared" si="1"/>
        <v>Пт</v>
      </c>
    </row>
    <row r="81" spans="1:4">
      <c r="A81" s="87" t="s">
        <v>93</v>
      </c>
      <c r="B81" s="88" t="s">
        <v>17</v>
      </c>
      <c r="C81" s="88">
        <v>96</v>
      </c>
      <c r="D81" s="89" t="str">
        <f t="shared" si="1"/>
        <v>Пт</v>
      </c>
    </row>
    <row r="82" spans="1:4">
      <c r="A82" s="87" t="s">
        <v>94</v>
      </c>
      <c r="B82" s="88" t="s">
        <v>19</v>
      </c>
      <c r="C82" s="88">
        <v>307</v>
      </c>
      <c r="D82" s="89" t="str">
        <f t="shared" si="1"/>
        <v>Пт</v>
      </c>
    </row>
    <row r="83" spans="1:4">
      <c r="A83" s="87" t="s">
        <v>95</v>
      </c>
      <c r="B83" s="88" t="s">
        <v>21</v>
      </c>
      <c r="C83" s="88">
        <v>349</v>
      </c>
      <c r="D83" s="89" t="str">
        <f t="shared" si="1"/>
        <v>Пт</v>
      </c>
    </row>
    <row r="84" spans="1:4">
      <c r="A84" s="87" t="s">
        <v>96</v>
      </c>
      <c r="B84" s="88" t="s">
        <v>23</v>
      </c>
      <c r="C84" s="88">
        <v>97</v>
      </c>
      <c r="D84" s="89" t="str">
        <f t="shared" si="1"/>
        <v>Пт</v>
      </c>
    </row>
    <row r="85" spans="1:4">
      <c r="A85" s="87" t="s">
        <v>97</v>
      </c>
      <c r="B85" s="88" t="s">
        <v>5</v>
      </c>
      <c r="C85" s="88">
        <v>274</v>
      </c>
      <c r="D85" s="89" t="str">
        <f t="shared" si="1"/>
        <v>Пт</v>
      </c>
    </row>
    <row r="86" spans="1:4">
      <c r="A86" s="87" t="s">
        <v>98</v>
      </c>
      <c r="B86" s="88" t="s">
        <v>7</v>
      </c>
      <c r="C86" s="88">
        <v>4</v>
      </c>
      <c r="D86" s="89" t="str">
        <f t="shared" si="1"/>
        <v>Пт</v>
      </c>
    </row>
    <row r="87" spans="1:4">
      <c r="A87" s="87" t="s">
        <v>99</v>
      </c>
      <c r="B87" s="88" t="s">
        <v>9</v>
      </c>
      <c r="C87" s="88">
        <v>60</v>
      </c>
      <c r="D87" s="89" t="str">
        <f t="shared" si="1"/>
        <v>Пт</v>
      </c>
    </row>
    <row r="88" spans="1:4">
      <c r="A88" s="87" t="s">
        <v>100</v>
      </c>
      <c r="B88" s="88" t="s">
        <v>11</v>
      </c>
      <c r="C88" s="88">
        <v>568</v>
      </c>
      <c r="D88" s="89" t="str">
        <f t="shared" si="1"/>
        <v>Пт</v>
      </c>
    </row>
    <row r="89" spans="1:4">
      <c r="A89" s="87" t="s">
        <v>101</v>
      </c>
      <c r="B89" s="88" t="s">
        <v>13</v>
      </c>
      <c r="C89" s="88">
        <v>396</v>
      </c>
      <c r="D89" s="89" t="str">
        <f t="shared" si="1"/>
        <v>Пт</v>
      </c>
    </row>
    <row r="90" spans="1:4">
      <c r="A90" s="87" t="s">
        <v>102</v>
      </c>
      <c r="B90" s="88" t="s">
        <v>15</v>
      </c>
      <c r="C90" s="88">
        <v>158</v>
      </c>
      <c r="D90" s="89" t="str">
        <f t="shared" si="1"/>
        <v>Пт</v>
      </c>
    </row>
    <row r="91" spans="1:4">
      <c r="A91" s="87" t="s">
        <v>103</v>
      </c>
      <c r="B91" s="88" t="s">
        <v>17</v>
      </c>
      <c r="C91" s="88">
        <v>608</v>
      </c>
      <c r="D91" s="89" t="str">
        <f t="shared" si="1"/>
        <v>Пт</v>
      </c>
    </row>
    <row r="92" spans="1:4">
      <c r="A92" s="87" t="s">
        <v>104</v>
      </c>
      <c r="B92" s="88" t="s">
        <v>19</v>
      </c>
      <c r="C92" s="88">
        <v>493</v>
      </c>
      <c r="D92" s="89" t="str">
        <f t="shared" si="1"/>
        <v>Пт</v>
      </c>
    </row>
    <row r="93" spans="1:4">
      <c r="A93" s="87" t="s">
        <v>105</v>
      </c>
      <c r="B93" s="88" t="s">
        <v>21</v>
      </c>
      <c r="C93" s="88">
        <v>98</v>
      </c>
      <c r="D93" s="89" t="str">
        <f t="shared" si="1"/>
        <v>Пт</v>
      </c>
    </row>
    <row r="94" spans="1:4">
      <c r="A94" s="87" t="s">
        <v>106</v>
      </c>
      <c r="B94" s="88" t="s">
        <v>23</v>
      </c>
      <c r="C94" s="88">
        <v>333</v>
      </c>
      <c r="D94" s="89" t="str">
        <f t="shared" si="1"/>
        <v>Пт</v>
      </c>
    </row>
    <row r="95" spans="1:4">
      <c r="A95" s="87" t="s">
        <v>107</v>
      </c>
      <c r="B95" s="88" t="s">
        <v>5</v>
      </c>
      <c r="C95" s="88">
        <v>186</v>
      </c>
      <c r="D95" s="89" t="str">
        <f t="shared" si="1"/>
        <v>Пт</v>
      </c>
    </row>
    <row r="96" spans="1:4">
      <c r="A96" s="87" t="s">
        <v>108</v>
      </c>
      <c r="B96" s="88" t="s">
        <v>7</v>
      </c>
      <c r="C96" s="88">
        <v>354</v>
      </c>
      <c r="D96" s="89" t="str">
        <f t="shared" si="1"/>
        <v>Пт</v>
      </c>
    </row>
    <row r="97" ht="15.15" spans="1:4">
      <c r="A97" s="90" t="s">
        <v>109</v>
      </c>
      <c r="B97" s="91" t="s">
        <v>9</v>
      </c>
      <c r="C97" s="91">
        <v>470</v>
      </c>
      <c r="D97" s="92" t="str">
        <f t="shared" si="1"/>
        <v>Пт</v>
      </c>
    </row>
    <row r="98" hidden="1" spans="1:4">
      <c r="A98" s="118" t="s">
        <v>110</v>
      </c>
      <c r="B98" s="119" t="s">
        <v>11</v>
      </c>
      <c r="C98" s="119">
        <v>175</v>
      </c>
      <c r="D98" s="120" t="str">
        <f t="shared" si="1"/>
        <v>Сб</v>
      </c>
    </row>
    <row r="99" hidden="1" spans="1:4">
      <c r="A99" s="121" t="s">
        <v>111</v>
      </c>
      <c r="B99" s="88" t="s">
        <v>13</v>
      </c>
      <c r="C99" s="88">
        <v>290</v>
      </c>
      <c r="D99" s="115" t="str">
        <f t="shared" si="1"/>
        <v>Сб</v>
      </c>
    </row>
    <row r="100" hidden="1" spans="1:4">
      <c r="A100" s="121" t="s">
        <v>112</v>
      </c>
      <c r="B100" s="88" t="s">
        <v>15</v>
      </c>
      <c r="C100" s="88">
        <v>174</v>
      </c>
      <c r="D100" s="115" t="str">
        <f t="shared" si="1"/>
        <v>Сб</v>
      </c>
    </row>
    <row r="101" hidden="1" spans="1:4">
      <c r="A101" s="121" t="s">
        <v>113</v>
      </c>
      <c r="B101" s="88" t="s">
        <v>17</v>
      </c>
      <c r="C101" s="88">
        <v>76</v>
      </c>
      <c r="D101" s="115" t="str">
        <f t="shared" si="1"/>
        <v>Сб</v>
      </c>
    </row>
    <row r="102" hidden="1" spans="1:4">
      <c r="A102" s="121" t="s">
        <v>114</v>
      </c>
      <c r="B102" s="88" t="s">
        <v>19</v>
      </c>
      <c r="C102" s="88">
        <v>162</v>
      </c>
      <c r="D102" s="115" t="str">
        <f t="shared" si="1"/>
        <v>Сб</v>
      </c>
    </row>
    <row r="103" hidden="1" spans="1:4">
      <c r="A103" s="121" t="s">
        <v>115</v>
      </c>
      <c r="B103" s="88" t="s">
        <v>21</v>
      </c>
      <c r="C103" s="88">
        <v>182</v>
      </c>
      <c r="D103" s="115" t="str">
        <f t="shared" si="1"/>
        <v>Сб</v>
      </c>
    </row>
    <row r="104" hidden="1" spans="1:4">
      <c r="A104" s="121" t="s">
        <v>116</v>
      </c>
      <c r="B104" s="88" t="s">
        <v>23</v>
      </c>
      <c r="C104" s="88">
        <v>248</v>
      </c>
      <c r="D104" s="115" t="str">
        <f t="shared" si="1"/>
        <v>Сб</v>
      </c>
    </row>
    <row r="105" hidden="1" spans="1:4">
      <c r="A105" s="121" t="s">
        <v>117</v>
      </c>
      <c r="B105" s="88" t="s">
        <v>5</v>
      </c>
      <c r="C105" s="88">
        <v>423</v>
      </c>
      <c r="D105" s="115" t="str">
        <f t="shared" si="1"/>
        <v>Сб</v>
      </c>
    </row>
    <row r="106" hidden="1" spans="1:4">
      <c r="A106" s="121" t="s">
        <v>118</v>
      </c>
      <c r="B106" s="88" t="s">
        <v>7</v>
      </c>
      <c r="C106" s="88">
        <v>178</v>
      </c>
      <c r="D106" s="115" t="str">
        <f t="shared" si="1"/>
        <v>Сб</v>
      </c>
    </row>
    <row r="107" hidden="1" spans="1:4">
      <c r="A107" s="121" t="s">
        <v>119</v>
      </c>
      <c r="B107" s="88" t="s">
        <v>9</v>
      </c>
      <c r="C107" s="88">
        <v>550</v>
      </c>
      <c r="D107" s="115" t="str">
        <f t="shared" si="1"/>
        <v>Сб</v>
      </c>
    </row>
    <row r="108" hidden="1" spans="1:4">
      <c r="A108" s="121" t="s">
        <v>120</v>
      </c>
      <c r="B108" s="88" t="s">
        <v>11</v>
      </c>
      <c r="C108" s="88">
        <v>474</v>
      </c>
      <c r="D108" s="115" t="str">
        <f t="shared" si="1"/>
        <v>Сб</v>
      </c>
    </row>
    <row r="109" hidden="1" spans="1:4">
      <c r="A109" s="121" t="s">
        <v>121</v>
      </c>
      <c r="B109" s="88" t="s">
        <v>13</v>
      </c>
      <c r="C109" s="88">
        <v>575</v>
      </c>
      <c r="D109" s="115" t="str">
        <f t="shared" si="1"/>
        <v>Сб</v>
      </c>
    </row>
    <row r="110" hidden="1" spans="1:4">
      <c r="A110" s="121" t="s">
        <v>122</v>
      </c>
      <c r="B110" s="88" t="s">
        <v>15</v>
      </c>
      <c r="C110" s="88">
        <v>385</v>
      </c>
      <c r="D110" s="115" t="str">
        <f t="shared" si="1"/>
        <v>Сб</v>
      </c>
    </row>
    <row r="111" hidden="1" spans="1:4">
      <c r="A111" s="121" t="s">
        <v>123</v>
      </c>
      <c r="B111" s="88" t="s">
        <v>17</v>
      </c>
      <c r="C111" s="88">
        <v>238</v>
      </c>
      <c r="D111" s="115" t="str">
        <f t="shared" si="1"/>
        <v>Сб</v>
      </c>
    </row>
    <row r="112" hidden="1" spans="1:4">
      <c r="A112" s="121" t="s">
        <v>124</v>
      </c>
      <c r="B112" s="88" t="s">
        <v>19</v>
      </c>
      <c r="C112" s="88">
        <v>326</v>
      </c>
      <c r="D112" s="115" t="str">
        <f t="shared" si="1"/>
        <v>Сб</v>
      </c>
    </row>
    <row r="113" hidden="1" spans="1:4">
      <c r="A113" s="121" t="s">
        <v>125</v>
      </c>
      <c r="B113" s="88" t="s">
        <v>21</v>
      </c>
      <c r="C113" s="88">
        <v>246</v>
      </c>
      <c r="D113" s="115" t="str">
        <f t="shared" si="1"/>
        <v>Сб</v>
      </c>
    </row>
    <row r="114" hidden="1" spans="1:4">
      <c r="A114" s="121" t="s">
        <v>126</v>
      </c>
      <c r="B114" s="88" t="s">
        <v>23</v>
      </c>
      <c r="C114" s="88">
        <v>344</v>
      </c>
      <c r="D114" s="115" t="str">
        <f t="shared" si="1"/>
        <v>Сб</v>
      </c>
    </row>
    <row r="115" hidden="1" spans="1:4">
      <c r="A115" s="121" t="s">
        <v>127</v>
      </c>
      <c r="B115" s="88" t="s">
        <v>5</v>
      </c>
      <c r="C115" s="88">
        <v>594</v>
      </c>
      <c r="D115" s="115" t="str">
        <f t="shared" si="1"/>
        <v>Сб</v>
      </c>
    </row>
    <row r="116" hidden="1" spans="1:4">
      <c r="A116" s="121" t="s">
        <v>128</v>
      </c>
      <c r="B116" s="88" t="s">
        <v>7</v>
      </c>
      <c r="C116" s="88">
        <v>468</v>
      </c>
      <c r="D116" s="115" t="str">
        <f t="shared" si="1"/>
        <v>Сб</v>
      </c>
    </row>
    <row r="117" hidden="1" spans="1:4">
      <c r="A117" s="121" t="s">
        <v>129</v>
      </c>
      <c r="B117" s="88" t="s">
        <v>9</v>
      </c>
      <c r="C117" s="88">
        <v>111</v>
      </c>
      <c r="D117" s="115" t="str">
        <f t="shared" si="1"/>
        <v>Сб</v>
      </c>
    </row>
    <row r="118" hidden="1" spans="1:4">
      <c r="A118" s="121" t="s">
        <v>130</v>
      </c>
      <c r="B118" s="88" t="s">
        <v>11</v>
      </c>
      <c r="C118" s="88">
        <v>50</v>
      </c>
      <c r="D118" s="115" t="str">
        <f t="shared" si="1"/>
        <v>Сб</v>
      </c>
    </row>
    <row r="119" hidden="1" spans="1:4">
      <c r="A119" s="121" t="s">
        <v>131</v>
      </c>
      <c r="B119" s="88" t="s">
        <v>13</v>
      </c>
      <c r="C119" s="88">
        <v>524</v>
      </c>
      <c r="D119" s="115" t="str">
        <f t="shared" si="1"/>
        <v>Сб</v>
      </c>
    </row>
    <row r="120" hidden="1" spans="1:4">
      <c r="A120" s="121" t="s">
        <v>132</v>
      </c>
      <c r="B120" s="88" t="s">
        <v>15</v>
      </c>
      <c r="C120" s="88">
        <v>535</v>
      </c>
      <c r="D120" s="115" t="str">
        <f t="shared" si="1"/>
        <v>Сб</v>
      </c>
    </row>
    <row r="121" hidden="1" spans="1:4">
      <c r="A121" s="121" t="s">
        <v>133</v>
      </c>
      <c r="B121" s="88" t="s">
        <v>17</v>
      </c>
      <c r="C121" s="88">
        <v>48</v>
      </c>
      <c r="D121" s="115" t="str">
        <f t="shared" si="1"/>
        <v>Сб</v>
      </c>
    </row>
    <row r="122" hidden="1" spans="1:4">
      <c r="A122" s="121" t="s">
        <v>134</v>
      </c>
      <c r="B122" s="88" t="s">
        <v>19</v>
      </c>
      <c r="C122" s="88">
        <v>281</v>
      </c>
      <c r="D122" s="115" t="str">
        <f t="shared" si="1"/>
        <v>Вс</v>
      </c>
    </row>
    <row r="123" hidden="1" spans="1:4">
      <c r="A123" s="121" t="s">
        <v>135</v>
      </c>
      <c r="B123" s="88" t="s">
        <v>21</v>
      </c>
      <c r="C123" s="88">
        <v>400</v>
      </c>
      <c r="D123" s="115" t="str">
        <f t="shared" si="1"/>
        <v>Вс</v>
      </c>
    </row>
    <row r="124" hidden="1" spans="1:4">
      <c r="A124" s="121" t="s">
        <v>136</v>
      </c>
      <c r="B124" s="88" t="s">
        <v>23</v>
      </c>
      <c r="C124" s="88">
        <v>190</v>
      </c>
      <c r="D124" s="115" t="str">
        <f t="shared" si="1"/>
        <v>Вс</v>
      </c>
    </row>
    <row r="125" hidden="1" spans="1:4">
      <c r="A125" s="121" t="s">
        <v>137</v>
      </c>
      <c r="B125" s="88" t="s">
        <v>5</v>
      </c>
      <c r="C125" s="88">
        <v>578</v>
      </c>
      <c r="D125" s="115" t="str">
        <f t="shared" si="1"/>
        <v>Вс</v>
      </c>
    </row>
    <row r="126" hidden="1" spans="1:4">
      <c r="A126" s="121" t="s">
        <v>138</v>
      </c>
      <c r="B126" s="88" t="s">
        <v>7</v>
      </c>
      <c r="C126" s="88">
        <v>343</v>
      </c>
      <c r="D126" s="115" t="str">
        <f t="shared" si="1"/>
        <v>Вс</v>
      </c>
    </row>
    <row r="127" hidden="1" spans="1:4">
      <c r="A127" s="121" t="s">
        <v>139</v>
      </c>
      <c r="B127" s="88" t="s">
        <v>9</v>
      </c>
      <c r="C127" s="88">
        <v>181</v>
      </c>
      <c r="D127" s="115" t="str">
        <f t="shared" si="1"/>
        <v>Вс</v>
      </c>
    </row>
    <row r="128" hidden="1" spans="1:4">
      <c r="A128" s="121" t="s">
        <v>140</v>
      </c>
      <c r="B128" s="88" t="s">
        <v>11</v>
      </c>
      <c r="C128" s="88">
        <v>69</v>
      </c>
      <c r="D128" s="115" t="str">
        <f t="shared" si="1"/>
        <v>Вс</v>
      </c>
    </row>
    <row r="129" hidden="1" spans="1:4">
      <c r="A129" s="121" t="s">
        <v>141</v>
      </c>
      <c r="B129" s="88" t="s">
        <v>13</v>
      </c>
      <c r="C129" s="88">
        <v>26</v>
      </c>
      <c r="D129" s="115" t="str">
        <f t="shared" si="1"/>
        <v>Вс</v>
      </c>
    </row>
    <row r="130" hidden="1" spans="1:4">
      <c r="A130" s="121" t="s">
        <v>142</v>
      </c>
      <c r="B130" s="88" t="s">
        <v>15</v>
      </c>
      <c r="C130" s="88">
        <v>492</v>
      </c>
      <c r="D130" s="115" t="str">
        <f t="shared" ref="D130:D193" si="2">CHOOSE(WEEKDAY(DATE(VALUE(LEFT(A130,4)),VALUE(MID(A130,6,2)),VALUE(MID(A130,9,2))),2),"Пн","Вт","Ср","Чт","Пт","Сб","Вс")</f>
        <v>Вс</v>
      </c>
    </row>
    <row r="131" hidden="1" spans="1:4">
      <c r="A131" s="121" t="s">
        <v>143</v>
      </c>
      <c r="B131" s="88" t="s">
        <v>17</v>
      </c>
      <c r="C131" s="88">
        <v>418</v>
      </c>
      <c r="D131" s="115" t="str">
        <f t="shared" si="2"/>
        <v>Вс</v>
      </c>
    </row>
    <row r="132" hidden="1" spans="1:4">
      <c r="A132" s="121" t="s">
        <v>144</v>
      </c>
      <c r="B132" s="88" t="s">
        <v>19</v>
      </c>
      <c r="C132" s="88">
        <v>369</v>
      </c>
      <c r="D132" s="115" t="str">
        <f t="shared" si="2"/>
        <v>Вс</v>
      </c>
    </row>
    <row r="133" hidden="1" spans="1:4">
      <c r="A133" s="121" t="s">
        <v>145</v>
      </c>
      <c r="B133" s="88" t="s">
        <v>21</v>
      </c>
      <c r="C133" s="88">
        <v>583</v>
      </c>
      <c r="D133" s="115" t="str">
        <f t="shared" si="2"/>
        <v>Вс</v>
      </c>
    </row>
    <row r="134" hidden="1" spans="1:4">
      <c r="A134" s="121" t="s">
        <v>146</v>
      </c>
      <c r="B134" s="88" t="s">
        <v>23</v>
      </c>
      <c r="C134" s="88">
        <v>415</v>
      </c>
      <c r="D134" s="115" t="str">
        <f t="shared" si="2"/>
        <v>Вс</v>
      </c>
    </row>
    <row r="135" hidden="1" spans="1:4">
      <c r="A135" s="121" t="s">
        <v>147</v>
      </c>
      <c r="B135" s="88" t="s">
        <v>5</v>
      </c>
      <c r="C135" s="88">
        <v>95</v>
      </c>
      <c r="D135" s="115" t="str">
        <f t="shared" si="2"/>
        <v>Вс</v>
      </c>
    </row>
    <row r="136" hidden="1" spans="1:4">
      <c r="A136" s="121" t="s">
        <v>148</v>
      </c>
      <c r="B136" s="88" t="s">
        <v>7</v>
      </c>
      <c r="C136" s="88">
        <v>115</v>
      </c>
      <c r="D136" s="115" t="str">
        <f t="shared" si="2"/>
        <v>Вс</v>
      </c>
    </row>
    <row r="137" hidden="1" spans="1:4">
      <c r="A137" s="121" t="s">
        <v>149</v>
      </c>
      <c r="B137" s="88" t="s">
        <v>9</v>
      </c>
      <c r="C137" s="88">
        <v>469</v>
      </c>
      <c r="D137" s="115" t="str">
        <f t="shared" si="2"/>
        <v>Вс</v>
      </c>
    </row>
    <row r="138" hidden="1" spans="1:4">
      <c r="A138" s="121" t="s">
        <v>150</v>
      </c>
      <c r="B138" s="88" t="s">
        <v>11</v>
      </c>
      <c r="C138" s="88">
        <v>359</v>
      </c>
      <c r="D138" s="115" t="str">
        <f t="shared" si="2"/>
        <v>Вс</v>
      </c>
    </row>
    <row r="139" hidden="1" spans="1:4">
      <c r="A139" s="121" t="s">
        <v>151</v>
      </c>
      <c r="B139" s="88" t="s">
        <v>13</v>
      </c>
      <c r="C139" s="88">
        <v>226</v>
      </c>
      <c r="D139" s="115" t="str">
        <f t="shared" si="2"/>
        <v>Вс</v>
      </c>
    </row>
    <row r="140" hidden="1" spans="1:4">
      <c r="A140" s="121" t="s">
        <v>152</v>
      </c>
      <c r="B140" s="88" t="s">
        <v>15</v>
      </c>
      <c r="C140" s="88">
        <v>439</v>
      </c>
      <c r="D140" s="115" t="str">
        <f t="shared" si="2"/>
        <v>Вс</v>
      </c>
    </row>
    <row r="141" hidden="1" spans="1:4">
      <c r="A141" s="121" t="s">
        <v>153</v>
      </c>
      <c r="B141" s="88" t="s">
        <v>17</v>
      </c>
      <c r="C141" s="88">
        <v>647</v>
      </c>
      <c r="D141" s="115" t="str">
        <f t="shared" si="2"/>
        <v>Вс</v>
      </c>
    </row>
    <row r="142" hidden="1" spans="1:4">
      <c r="A142" s="121" t="s">
        <v>154</v>
      </c>
      <c r="B142" s="88" t="s">
        <v>19</v>
      </c>
      <c r="C142" s="88">
        <v>649</v>
      </c>
      <c r="D142" s="115" t="str">
        <f t="shared" si="2"/>
        <v>Вс</v>
      </c>
    </row>
    <row r="143" hidden="1" spans="1:4">
      <c r="A143" s="121" t="s">
        <v>155</v>
      </c>
      <c r="B143" s="88" t="s">
        <v>21</v>
      </c>
      <c r="C143" s="88">
        <v>185</v>
      </c>
      <c r="D143" s="115" t="str">
        <f t="shared" si="2"/>
        <v>Вс</v>
      </c>
    </row>
    <row r="144" hidden="1" spans="1:4">
      <c r="A144" s="121" t="s">
        <v>156</v>
      </c>
      <c r="B144" s="88" t="s">
        <v>23</v>
      </c>
      <c r="C144" s="88">
        <v>298</v>
      </c>
      <c r="D144" s="115" t="str">
        <f t="shared" si="2"/>
        <v>Вс</v>
      </c>
    </row>
    <row r="145" ht="15.15" hidden="1" spans="1:4">
      <c r="A145" s="122" t="s">
        <v>157</v>
      </c>
      <c r="B145" s="123" t="s">
        <v>5</v>
      </c>
      <c r="C145" s="123">
        <v>258</v>
      </c>
      <c r="D145" s="124" t="str">
        <f t="shared" si="2"/>
        <v>Вс</v>
      </c>
    </row>
    <row r="146" spans="1:4">
      <c r="A146" s="84" t="s">
        <v>158</v>
      </c>
      <c r="B146" s="85" t="s">
        <v>7</v>
      </c>
      <c r="C146" s="85">
        <v>434</v>
      </c>
      <c r="D146" s="86" t="str">
        <f t="shared" si="2"/>
        <v>Пн</v>
      </c>
    </row>
    <row r="147" spans="1:4">
      <c r="A147" s="87" t="s">
        <v>159</v>
      </c>
      <c r="B147" s="88" t="s">
        <v>9</v>
      </c>
      <c r="C147" s="88">
        <v>169</v>
      </c>
      <c r="D147" s="89" t="str">
        <f t="shared" si="2"/>
        <v>Пн</v>
      </c>
    </row>
    <row r="148" spans="1:4">
      <c r="A148" s="87" t="s">
        <v>160</v>
      </c>
      <c r="B148" s="88" t="s">
        <v>11</v>
      </c>
      <c r="C148" s="88">
        <v>356</v>
      </c>
      <c r="D148" s="89" t="str">
        <f t="shared" si="2"/>
        <v>Пн</v>
      </c>
    </row>
    <row r="149" spans="1:4">
      <c r="A149" s="87" t="s">
        <v>161</v>
      </c>
      <c r="B149" s="88" t="s">
        <v>13</v>
      </c>
      <c r="C149" s="88">
        <v>245</v>
      </c>
      <c r="D149" s="89" t="str">
        <f t="shared" si="2"/>
        <v>Пн</v>
      </c>
    </row>
    <row r="150" spans="1:4">
      <c r="A150" s="87" t="s">
        <v>162</v>
      </c>
      <c r="B150" s="88" t="s">
        <v>15</v>
      </c>
      <c r="C150" s="88">
        <v>596</v>
      </c>
      <c r="D150" s="89" t="str">
        <f t="shared" si="2"/>
        <v>Пн</v>
      </c>
    </row>
    <row r="151" spans="1:4">
      <c r="A151" s="87" t="s">
        <v>163</v>
      </c>
      <c r="B151" s="88" t="s">
        <v>17</v>
      </c>
      <c r="C151" s="88">
        <v>309</v>
      </c>
      <c r="D151" s="89" t="str">
        <f t="shared" si="2"/>
        <v>Пн</v>
      </c>
    </row>
    <row r="152" spans="1:4">
      <c r="A152" s="87" t="s">
        <v>164</v>
      </c>
      <c r="B152" s="88" t="s">
        <v>19</v>
      </c>
      <c r="C152" s="88">
        <v>475</v>
      </c>
      <c r="D152" s="89" t="str">
        <f t="shared" si="2"/>
        <v>Пн</v>
      </c>
    </row>
    <row r="153" spans="1:4">
      <c r="A153" s="87" t="s">
        <v>165</v>
      </c>
      <c r="B153" s="88" t="s">
        <v>21</v>
      </c>
      <c r="C153" s="88">
        <v>361</v>
      </c>
      <c r="D153" s="89" t="str">
        <f t="shared" si="2"/>
        <v>Пн</v>
      </c>
    </row>
    <row r="154" spans="1:4">
      <c r="A154" s="87" t="s">
        <v>166</v>
      </c>
      <c r="B154" s="88" t="s">
        <v>23</v>
      </c>
      <c r="C154" s="88">
        <v>563</v>
      </c>
      <c r="D154" s="89" t="str">
        <f t="shared" si="2"/>
        <v>Пн</v>
      </c>
    </row>
    <row r="155" spans="1:4">
      <c r="A155" s="87" t="s">
        <v>167</v>
      </c>
      <c r="B155" s="88" t="s">
        <v>5</v>
      </c>
      <c r="C155" s="88">
        <v>527</v>
      </c>
      <c r="D155" s="89" t="str">
        <f t="shared" si="2"/>
        <v>Пн</v>
      </c>
    </row>
    <row r="156" spans="1:4">
      <c r="A156" s="87" t="s">
        <v>168</v>
      </c>
      <c r="B156" s="88" t="s">
        <v>7</v>
      </c>
      <c r="C156" s="88">
        <v>584</v>
      </c>
      <c r="D156" s="89" t="str">
        <f t="shared" si="2"/>
        <v>Пн</v>
      </c>
    </row>
    <row r="157" spans="1:4">
      <c r="A157" s="87" t="s">
        <v>169</v>
      </c>
      <c r="B157" s="88" t="s">
        <v>9</v>
      </c>
      <c r="C157" s="88">
        <v>58</v>
      </c>
      <c r="D157" s="89" t="str">
        <f t="shared" si="2"/>
        <v>Пн</v>
      </c>
    </row>
    <row r="158" spans="1:4">
      <c r="A158" s="87" t="s">
        <v>170</v>
      </c>
      <c r="B158" s="88" t="s">
        <v>11</v>
      </c>
      <c r="C158" s="88">
        <v>536</v>
      </c>
      <c r="D158" s="89" t="str">
        <f t="shared" si="2"/>
        <v>Пн</v>
      </c>
    </row>
    <row r="159" spans="1:4">
      <c r="A159" s="87" t="s">
        <v>171</v>
      </c>
      <c r="B159" s="88" t="s">
        <v>13</v>
      </c>
      <c r="C159" s="88">
        <v>622</v>
      </c>
      <c r="D159" s="89" t="str">
        <f t="shared" si="2"/>
        <v>Пн</v>
      </c>
    </row>
    <row r="160" spans="1:4">
      <c r="A160" s="87" t="s">
        <v>172</v>
      </c>
      <c r="B160" s="88" t="s">
        <v>15</v>
      </c>
      <c r="C160" s="88">
        <v>501</v>
      </c>
      <c r="D160" s="89" t="str">
        <f t="shared" si="2"/>
        <v>Пн</v>
      </c>
    </row>
    <row r="161" spans="1:4">
      <c r="A161" s="87" t="s">
        <v>173</v>
      </c>
      <c r="B161" s="88" t="s">
        <v>17</v>
      </c>
      <c r="C161" s="88">
        <v>293</v>
      </c>
      <c r="D161" s="89" t="str">
        <f t="shared" si="2"/>
        <v>Пн</v>
      </c>
    </row>
    <row r="162" spans="1:4">
      <c r="A162" s="87" t="s">
        <v>174</v>
      </c>
      <c r="B162" s="88" t="s">
        <v>19</v>
      </c>
      <c r="C162" s="88">
        <v>252</v>
      </c>
      <c r="D162" s="89" t="str">
        <f t="shared" si="2"/>
        <v>Пн</v>
      </c>
    </row>
    <row r="163" spans="1:4">
      <c r="A163" s="87" t="s">
        <v>175</v>
      </c>
      <c r="B163" s="88" t="s">
        <v>21</v>
      </c>
      <c r="C163" s="88">
        <v>256</v>
      </c>
      <c r="D163" s="89" t="str">
        <f t="shared" si="2"/>
        <v>Пн</v>
      </c>
    </row>
    <row r="164" spans="1:4">
      <c r="A164" s="87" t="s">
        <v>176</v>
      </c>
      <c r="B164" s="88" t="s">
        <v>23</v>
      </c>
      <c r="C164" s="88">
        <v>20</v>
      </c>
      <c r="D164" s="89" t="str">
        <f t="shared" si="2"/>
        <v>Пн</v>
      </c>
    </row>
    <row r="165" spans="1:4">
      <c r="A165" s="87" t="s">
        <v>177</v>
      </c>
      <c r="B165" s="88" t="s">
        <v>5</v>
      </c>
      <c r="C165" s="88">
        <v>209</v>
      </c>
      <c r="D165" s="89" t="str">
        <f t="shared" si="2"/>
        <v>Пн</v>
      </c>
    </row>
    <row r="166" spans="1:4">
      <c r="A166" s="87" t="s">
        <v>178</v>
      </c>
      <c r="B166" s="88" t="s">
        <v>7</v>
      </c>
      <c r="C166" s="88">
        <v>417</v>
      </c>
      <c r="D166" s="89" t="str">
        <f t="shared" si="2"/>
        <v>Пн</v>
      </c>
    </row>
    <row r="167" spans="1:4">
      <c r="A167" s="87" t="s">
        <v>179</v>
      </c>
      <c r="B167" s="88" t="s">
        <v>9</v>
      </c>
      <c r="C167" s="88">
        <v>374</v>
      </c>
      <c r="D167" s="89" t="str">
        <f t="shared" si="2"/>
        <v>Пн</v>
      </c>
    </row>
    <row r="168" spans="1:4">
      <c r="A168" s="87" t="s">
        <v>180</v>
      </c>
      <c r="B168" s="88" t="s">
        <v>11</v>
      </c>
      <c r="C168" s="88">
        <v>389</v>
      </c>
      <c r="D168" s="89" t="str">
        <f t="shared" si="2"/>
        <v>Пн</v>
      </c>
    </row>
    <row r="169" spans="1:4">
      <c r="A169" s="87" t="s">
        <v>181</v>
      </c>
      <c r="B169" s="88" t="s">
        <v>13</v>
      </c>
      <c r="C169" s="88">
        <v>262</v>
      </c>
      <c r="D169" s="89" t="str">
        <f t="shared" si="2"/>
        <v>Пн</v>
      </c>
    </row>
    <row r="170" spans="1:4">
      <c r="A170" s="87" t="s">
        <v>182</v>
      </c>
      <c r="B170" s="88" t="s">
        <v>15</v>
      </c>
      <c r="C170" s="88">
        <v>399</v>
      </c>
      <c r="D170" s="89" t="str">
        <f t="shared" si="2"/>
        <v>Вт</v>
      </c>
    </row>
    <row r="171" spans="1:4">
      <c r="A171" s="87" t="s">
        <v>183</v>
      </c>
      <c r="B171" s="88" t="s">
        <v>17</v>
      </c>
      <c r="C171" s="88">
        <v>539</v>
      </c>
      <c r="D171" s="89" t="str">
        <f t="shared" si="2"/>
        <v>Вт</v>
      </c>
    </row>
    <row r="172" spans="1:4">
      <c r="A172" s="87" t="s">
        <v>184</v>
      </c>
      <c r="B172" s="88" t="s">
        <v>19</v>
      </c>
      <c r="C172" s="88">
        <v>534</v>
      </c>
      <c r="D172" s="89" t="str">
        <f t="shared" si="2"/>
        <v>Вт</v>
      </c>
    </row>
    <row r="173" spans="1:4">
      <c r="A173" s="87" t="s">
        <v>185</v>
      </c>
      <c r="B173" s="88" t="s">
        <v>21</v>
      </c>
      <c r="C173" s="88">
        <v>230</v>
      </c>
      <c r="D173" s="89" t="str">
        <f t="shared" si="2"/>
        <v>Вт</v>
      </c>
    </row>
    <row r="174" spans="1:4">
      <c r="A174" s="87" t="s">
        <v>186</v>
      </c>
      <c r="B174" s="88" t="s">
        <v>23</v>
      </c>
      <c r="C174" s="88">
        <v>438</v>
      </c>
      <c r="D174" s="89" t="str">
        <f t="shared" si="2"/>
        <v>Вт</v>
      </c>
    </row>
    <row r="175" spans="1:4">
      <c r="A175" s="87" t="s">
        <v>187</v>
      </c>
      <c r="B175" s="88" t="s">
        <v>5</v>
      </c>
      <c r="C175" s="88">
        <v>515</v>
      </c>
      <c r="D175" s="89" t="str">
        <f t="shared" si="2"/>
        <v>Вт</v>
      </c>
    </row>
    <row r="176" spans="1:4">
      <c r="A176" s="87" t="s">
        <v>188</v>
      </c>
      <c r="B176" s="88" t="s">
        <v>7</v>
      </c>
      <c r="C176" s="88">
        <v>118</v>
      </c>
      <c r="D176" s="89" t="str">
        <f t="shared" si="2"/>
        <v>Вт</v>
      </c>
    </row>
    <row r="177" spans="1:4">
      <c r="A177" s="87" t="s">
        <v>189</v>
      </c>
      <c r="B177" s="88" t="s">
        <v>9</v>
      </c>
      <c r="C177" s="88">
        <v>555</v>
      </c>
      <c r="D177" s="89" t="str">
        <f t="shared" si="2"/>
        <v>Вт</v>
      </c>
    </row>
    <row r="178" spans="1:4">
      <c r="A178" s="87" t="s">
        <v>190</v>
      </c>
      <c r="B178" s="88" t="s">
        <v>11</v>
      </c>
      <c r="C178" s="88">
        <v>79</v>
      </c>
      <c r="D178" s="89" t="str">
        <f t="shared" si="2"/>
        <v>Вт</v>
      </c>
    </row>
    <row r="179" spans="1:4">
      <c r="A179" s="87" t="s">
        <v>191</v>
      </c>
      <c r="B179" s="88" t="s">
        <v>13</v>
      </c>
      <c r="C179" s="88">
        <v>68</v>
      </c>
      <c r="D179" s="89" t="str">
        <f t="shared" si="2"/>
        <v>Вт</v>
      </c>
    </row>
    <row r="180" spans="1:4">
      <c r="A180" s="87" t="s">
        <v>192</v>
      </c>
      <c r="B180" s="88" t="s">
        <v>15</v>
      </c>
      <c r="C180" s="88">
        <v>513</v>
      </c>
      <c r="D180" s="89" t="str">
        <f t="shared" si="2"/>
        <v>Вт</v>
      </c>
    </row>
    <row r="181" spans="1:4">
      <c r="A181" s="87" t="s">
        <v>193</v>
      </c>
      <c r="B181" s="88" t="s">
        <v>17</v>
      </c>
      <c r="C181" s="88">
        <v>46</v>
      </c>
      <c r="D181" s="89" t="str">
        <f t="shared" si="2"/>
        <v>Вт</v>
      </c>
    </row>
    <row r="182" spans="1:4">
      <c r="A182" s="87" t="s">
        <v>194</v>
      </c>
      <c r="B182" s="88" t="s">
        <v>19</v>
      </c>
      <c r="C182" s="88">
        <v>465</v>
      </c>
      <c r="D182" s="89" t="str">
        <f t="shared" si="2"/>
        <v>Вт</v>
      </c>
    </row>
    <row r="183" spans="1:4">
      <c r="A183" s="87" t="s">
        <v>195</v>
      </c>
      <c r="B183" s="88" t="s">
        <v>21</v>
      </c>
      <c r="C183" s="88">
        <v>235</v>
      </c>
      <c r="D183" s="89" t="str">
        <f t="shared" si="2"/>
        <v>Вт</v>
      </c>
    </row>
    <row r="184" spans="1:4">
      <c r="A184" s="87" t="s">
        <v>196</v>
      </c>
      <c r="B184" s="88" t="s">
        <v>23</v>
      </c>
      <c r="C184" s="88">
        <v>384</v>
      </c>
      <c r="D184" s="89" t="str">
        <f t="shared" si="2"/>
        <v>Вт</v>
      </c>
    </row>
    <row r="185" spans="1:4">
      <c r="A185" s="87" t="s">
        <v>197</v>
      </c>
      <c r="B185" s="88" t="s">
        <v>5</v>
      </c>
      <c r="C185" s="88">
        <v>164</v>
      </c>
      <c r="D185" s="89" t="str">
        <f t="shared" si="2"/>
        <v>Вт</v>
      </c>
    </row>
    <row r="186" spans="1:4">
      <c r="A186" s="87" t="s">
        <v>198</v>
      </c>
      <c r="B186" s="88" t="s">
        <v>7</v>
      </c>
      <c r="C186" s="88">
        <v>216</v>
      </c>
      <c r="D186" s="89" t="str">
        <f t="shared" si="2"/>
        <v>Вт</v>
      </c>
    </row>
    <row r="187" spans="1:4">
      <c r="A187" s="87" t="s">
        <v>199</v>
      </c>
      <c r="B187" s="88" t="s">
        <v>9</v>
      </c>
      <c r="C187" s="88">
        <v>426</v>
      </c>
      <c r="D187" s="89" t="str">
        <f t="shared" si="2"/>
        <v>Вт</v>
      </c>
    </row>
    <row r="188" spans="1:4">
      <c r="A188" s="87" t="s">
        <v>200</v>
      </c>
      <c r="B188" s="88" t="s">
        <v>11</v>
      </c>
      <c r="C188" s="88">
        <v>502</v>
      </c>
      <c r="D188" s="89" t="str">
        <f t="shared" si="2"/>
        <v>Вт</v>
      </c>
    </row>
    <row r="189" spans="1:4">
      <c r="A189" s="87" t="s">
        <v>201</v>
      </c>
      <c r="B189" s="88" t="s">
        <v>13</v>
      </c>
      <c r="C189" s="88">
        <v>149</v>
      </c>
      <c r="D189" s="89" t="str">
        <f t="shared" si="2"/>
        <v>Вт</v>
      </c>
    </row>
    <row r="190" spans="1:4">
      <c r="A190" s="87" t="s">
        <v>202</v>
      </c>
      <c r="B190" s="88" t="s">
        <v>15</v>
      </c>
      <c r="C190" s="88">
        <v>425</v>
      </c>
      <c r="D190" s="89" t="str">
        <f t="shared" si="2"/>
        <v>Вт</v>
      </c>
    </row>
    <row r="191" spans="1:4">
      <c r="A191" s="87" t="s">
        <v>203</v>
      </c>
      <c r="B191" s="88" t="s">
        <v>17</v>
      </c>
      <c r="C191" s="88">
        <v>462</v>
      </c>
      <c r="D191" s="89" t="str">
        <f t="shared" si="2"/>
        <v>Вт</v>
      </c>
    </row>
    <row r="192" spans="1:4">
      <c r="A192" s="87" t="s">
        <v>204</v>
      </c>
      <c r="B192" s="88" t="s">
        <v>19</v>
      </c>
      <c r="C192" s="88">
        <v>196</v>
      </c>
      <c r="D192" s="89" t="str">
        <f t="shared" si="2"/>
        <v>Вт</v>
      </c>
    </row>
    <row r="193" spans="1:4">
      <c r="A193" s="87" t="s">
        <v>205</v>
      </c>
      <c r="B193" s="88" t="s">
        <v>21</v>
      </c>
      <c r="C193" s="88">
        <v>88</v>
      </c>
      <c r="D193" s="89" t="str">
        <f t="shared" si="2"/>
        <v>Вт</v>
      </c>
    </row>
    <row r="194" spans="1:4">
      <c r="A194" s="87" t="s">
        <v>206</v>
      </c>
      <c r="B194" s="88" t="s">
        <v>23</v>
      </c>
      <c r="C194" s="88">
        <v>188</v>
      </c>
      <c r="D194" s="89" t="str">
        <f t="shared" ref="D194:D257" si="3">CHOOSE(WEEKDAY(DATE(VALUE(LEFT(A194,4)),VALUE(MID(A194,6,2)),VALUE(MID(A194,9,2))),2),"Пн","Вт","Ср","Чт","Пт","Сб","Вс")</f>
        <v>Ср</v>
      </c>
    </row>
    <row r="195" spans="1:4">
      <c r="A195" s="87" t="s">
        <v>207</v>
      </c>
      <c r="B195" s="88" t="s">
        <v>5</v>
      </c>
      <c r="C195" s="88">
        <v>590</v>
      </c>
      <c r="D195" s="89" t="str">
        <f t="shared" si="3"/>
        <v>Ср</v>
      </c>
    </row>
    <row r="196" spans="1:4">
      <c r="A196" s="87" t="s">
        <v>208</v>
      </c>
      <c r="B196" s="88" t="s">
        <v>7</v>
      </c>
      <c r="C196" s="88">
        <v>355</v>
      </c>
      <c r="D196" s="89" t="str">
        <f t="shared" si="3"/>
        <v>Ср</v>
      </c>
    </row>
    <row r="197" spans="1:4">
      <c r="A197" s="87" t="s">
        <v>209</v>
      </c>
      <c r="B197" s="88" t="s">
        <v>9</v>
      </c>
      <c r="C197" s="88">
        <v>218</v>
      </c>
      <c r="D197" s="89" t="str">
        <f t="shared" si="3"/>
        <v>Ср</v>
      </c>
    </row>
    <row r="198" spans="1:4">
      <c r="A198" s="87" t="s">
        <v>210</v>
      </c>
      <c r="B198" s="88" t="s">
        <v>11</v>
      </c>
      <c r="C198" s="88">
        <v>619</v>
      </c>
      <c r="D198" s="89" t="str">
        <f t="shared" si="3"/>
        <v>Ср</v>
      </c>
    </row>
    <row r="199" spans="1:4">
      <c r="A199" s="87" t="s">
        <v>211</v>
      </c>
      <c r="B199" s="88" t="s">
        <v>13</v>
      </c>
      <c r="C199" s="88">
        <v>28</v>
      </c>
      <c r="D199" s="89" t="str">
        <f t="shared" si="3"/>
        <v>Ср</v>
      </c>
    </row>
    <row r="200" spans="1:4">
      <c r="A200" s="87" t="s">
        <v>212</v>
      </c>
      <c r="B200" s="88" t="s">
        <v>15</v>
      </c>
      <c r="C200" s="88">
        <v>538</v>
      </c>
      <c r="D200" s="89" t="str">
        <f t="shared" si="3"/>
        <v>Ср</v>
      </c>
    </row>
    <row r="201" spans="1:4">
      <c r="A201" s="87" t="s">
        <v>213</v>
      </c>
      <c r="B201" s="88" t="s">
        <v>17</v>
      </c>
      <c r="C201" s="88">
        <v>407</v>
      </c>
      <c r="D201" s="89" t="str">
        <f t="shared" si="3"/>
        <v>Ср</v>
      </c>
    </row>
    <row r="202" spans="1:4">
      <c r="A202" s="87" t="s">
        <v>214</v>
      </c>
      <c r="B202" s="88" t="s">
        <v>19</v>
      </c>
      <c r="C202" s="88">
        <v>553</v>
      </c>
      <c r="D202" s="89" t="str">
        <f t="shared" si="3"/>
        <v>Ср</v>
      </c>
    </row>
    <row r="203" spans="1:4">
      <c r="A203" s="87" t="s">
        <v>215</v>
      </c>
      <c r="B203" s="88" t="s">
        <v>21</v>
      </c>
      <c r="C203" s="88">
        <v>561</v>
      </c>
      <c r="D203" s="89" t="str">
        <f t="shared" si="3"/>
        <v>Ср</v>
      </c>
    </row>
    <row r="204" spans="1:4">
      <c r="A204" s="87" t="s">
        <v>216</v>
      </c>
      <c r="B204" s="88" t="s">
        <v>23</v>
      </c>
      <c r="C204" s="88">
        <v>139</v>
      </c>
      <c r="D204" s="89" t="str">
        <f t="shared" si="3"/>
        <v>Ср</v>
      </c>
    </row>
    <row r="205" spans="1:4">
      <c r="A205" s="87" t="s">
        <v>217</v>
      </c>
      <c r="B205" s="88" t="s">
        <v>5</v>
      </c>
      <c r="C205" s="88">
        <v>128</v>
      </c>
      <c r="D205" s="89" t="str">
        <f t="shared" si="3"/>
        <v>Ср</v>
      </c>
    </row>
    <row r="206" spans="1:4">
      <c r="A206" s="87" t="s">
        <v>218</v>
      </c>
      <c r="B206" s="88" t="s">
        <v>7</v>
      </c>
      <c r="C206" s="88">
        <v>436</v>
      </c>
      <c r="D206" s="89" t="str">
        <f t="shared" si="3"/>
        <v>Ср</v>
      </c>
    </row>
    <row r="207" spans="1:4">
      <c r="A207" s="87" t="s">
        <v>219</v>
      </c>
      <c r="B207" s="88" t="s">
        <v>9</v>
      </c>
      <c r="C207" s="88">
        <v>179</v>
      </c>
      <c r="D207" s="89" t="str">
        <f t="shared" si="3"/>
        <v>Ср</v>
      </c>
    </row>
    <row r="208" spans="1:4">
      <c r="A208" s="87" t="s">
        <v>220</v>
      </c>
      <c r="B208" s="88" t="s">
        <v>11</v>
      </c>
      <c r="C208" s="88">
        <v>433</v>
      </c>
      <c r="D208" s="89" t="str">
        <f t="shared" si="3"/>
        <v>Ср</v>
      </c>
    </row>
    <row r="209" spans="1:4">
      <c r="A209" s="87" t="s">
        <v>221</v>
      </c>
      <c r="B209" s="88" t="s">
        <v>13</v>
      </c>
      <c r="C209" s="88">
        <v>331</v>
      </c>
      <c r="D209" s="89" t="str">
        <f t="shared" si="3"/>
        <v>Ср</v>
      </c>
    </row>
    <row r="210" spans="1:4">
      <c r="A210" s="87" t="s">
        <v>222</v>
      </c>
      <c r="B210" s="88" t="s">
        <v>15</v>
      </c>
      <c r="C210" s="88">
        <v>322</v>
      </c>
      <c r="D210" s="89" t="str">
        <f t="shared" si="3"/>
        <v>Ср</v>
      </c>
    </row>
    <row r="211" spans="1:4">
      <c r="A211" s="87" t="s">
        <v>223</v>
      </c>
      <c r="B211" s="88" t="s">
        <v>17</v>
      </c>
      <c r="C211" s="88">
        <v>77</v>
      </c>
      <c r="D211" s="89" t="str">
        <f t="shared" si="3"/>
        <v>Ср</v>
      </c>
    </row>
    <row r="212" spans="1:4">
      <c r="A212" s="87" t="s">
        <v>224</v>
      </c>
      <c r="B212" s="88" t="s">
        <v>19</v>
      </c>
      <c r="C212" s="88">
        <v>263</v>
      </c>
      <c r="D212" s="89" t="str">
        <f t="shared" si="3"/>
        <v>Ср</v>
      </c>
    </row>
    <row r="213" spans="1:4">
      <c r="A213" s="87" t="s">
        <v>225</v>
      </c>
      <c r="B213" s="88" t="s">
        <v>21</v>
      </c>
      <c r="C213" s="88">
        <v>86</v>
      </c>
      <c r="D213" s="89" t="str">
        <f t="shared" si="3"/>
        <v>Ср</v>
      </c>
    </row>
    <row r="214" spans="1:4">
      <c r="A214" s="87" t="s">
        <v>226</v>
      </c>
      <c r="B214" s="88" t="s">
        <v>23</v>
      </c>
      <c r="C214" s="88">
        <v>526</v>
      </c>
      <c r="D214" s="89" t="str">
        <f t="shared" si="3"/>
        <v>Ср</v>
      </c>
    </row>
    <row r="215" spans="1:4">
      <c r="A215" s="87" t="s">
        <v>227</v>
      </c>
      <c r="B215" s="88" t="s">
        <v>5</v>
      </c>
      <c r="C215" s="88">
        <v>587</v>
      </c>
      <c r="D215" s="89" t="str">
        <f t="shared" si="3"/>
        <v>Ср</v>
      </c>
    </row>
    <row r="216" spans="1:4">
      <c r="A216" s="87" t="s">
        <v>228</v>
      </c>
      <c r="B216" s="88" t="s">
        <v>7</v>
      </c>
      <c r="C216" s="88">
        <v>9</v>
      </c>
      <c r="D216" s="89" t="str">
        <f t="shared" si="3"/>
        <v>Ср</v>
      </c>
    </row>
    <row r="217" spans="1:4">
      <c r="A217" s="87" t="s">
        <v>229</v>
      </c>
      <c r="B217" s="88" t="s">
        <v>9</v>
      </c>
      <c r="C217" s="88">
        <v>124</v>
      </c>
      <c r="D217" s="89" t="str">
        <f t="shared" si="3"/>
        <v>Ср</v>
      </c>
    </row>
    <row r="218" spans="1:4">
      <c r="A218" s="87" t="s">
        <v>230</v>
      </c>
      <c r="B218" s="88" t="s">
        <v>11</v>
      </c>
      <c r="C218" s="88">
        <v>572</v>
      </c>
      <c r="D218" s="89" t="str">
        <f t="shared" si="3"/>
        <v>Чт</v>
      </c>
    </row>
    <row r="219" spans="1:4">
      <c r="A219" s="87" t="s">
        <v>231</v>
      </c>
      <c r="B219" s="88" t="s">
        <v>13</v>
      </c>
      <c r="C219" s="88">
        <v>80</v>
      </c>
      <c r="D219" s="89" t="str">
        <f t="shared" si="3"/>
        <v>Чт</v>
      </c>
    </row>
    <row r="220" spans="1:4">
      <c r="A220" s="87" t="s">
        <v>232</v>
      </c>
      <c r="B220" s="88" t="s">
        <v>15</v>
      </c>
      <c r="C220" s="88">
        <v>170</v>
      </c>
      <c r="D220" s="89" t="str">
        <f t="shared" si="3"/>
        <v>Чт</v>
      </c>
    </row>
    <row r="221" spans="1:4">
      <c r="A221" s="87" t="s">
        <v>233</v>
      </c>
      <c r="B221" s="88" t="s">
        <v>17</v>
      </c>
      <c r="C221" s="88">
        <v>599</v>
      </c>
      <c r="D221" s="89" t="str">
        <f t="shared" si="3"/>
        <v>Чт</v>
      </c>
    </row>
    <row r="222" spans="1:4">
      <c r="A222" s="87" t="s">
        <v>234</v>
      </c>
      <c r="B222" s="88" t="s">
        <v>19</v>
      </c>
      <c r="C222" s="88">
        <v>85</v>
      </c>
      <c r="D222" s="89" t="str">
        <f t="shared" si="3"/>
        <v>Чт</v>
      </c>
    </row>
    <row r="223" spans="1:4">
      <c r="A223" s="87" t="s">
        <v>235</v>
      </c>
      <c r="B223" s="88" t="s">
        <v>21</v>
      </c>
      <c r="C223" s="88">
        <v>556</v>
      </c>
      <c r="D223" s="89" t="str">
        <f t="shared" si="3"/>
        <v>Чт</v>
      </c>
    </row>
    <row r="224" spans="1:4">
      <c r="A224" s="87" t="s">
        <v>236</v>
      </c>
      <c r="B224" s="88" t="s">
        <v>23</v>
      </c>
      <c r="C224" s="88">
        <v>463</v>
      </c>
      <c r="D224" s="89" t="str">
        <f t="shared" si="3"/>
        <v>Чт</v>
      </c>
    </row>
    <row r="225" spans="1:4">
      <c r="A225" s="87" t="s">
        <v>237</v>
      </c>
      <c r="B225" s="88" t="s">
        <v>5</v>
      </c>
      <c r="C225" s="88">
        <v>588</v>
      </c>
      <c r="D225" s="89" t="str">
        <f t="shared" si="3"/>
        <v>Чт</v>
      </c>
    </row>
    <row r="226" spans="1:4">
      <c r="A226" s="87" t="s">
        <v>238</v>
      </c>
      <c r="B226" s="88" t="s">
        <v>7</v>
      </c>
      <c r="C226" s="88">
        <v>316</v>
      </c>
      <c r="D226" s="89" t="str">
        <f t="shared" si="3"/>
        <v>Чт</v>
      </c>
    </row>
    <row r="227" spans="1:4">
      <c r="A227" s="87" t="s">
        <v>239</v>
      </c>
      <c r="B227" s="88" t="s">
        <v>9</v>
      </c>
      <c r="C227" s="88">
        <v>483</v>
      </c>
      <c r="D227" s="89" t="str">
        <f t="shared" si="3"/>
        <v>Чт</v>
      </c>
    </row>
    <row r="228" spans="1:4">
      <c r="A228" s="87" t="s">
        <v>240</v>
      </c>
      <c r="B228" s="88" t="s">
        <v>11</v>
      </c>
      <c r="C228" s="88">
        <v>336</v>
      </c>
      <c r="D228" s="89" t="str">
        <f t="shared" si="3"/>
        <v>Чт</v>
      </c>
    </row>
    <row r="229" spans="1:4">
      <c r="A229" s="87" t="s">
        <v>241</v>
      </c>
      <c r="B229" s="88" t="s">
        <v>13</v>
      </c>
      <c r="C229" s="88">
        <v>402</v>
      </c>
      <c r="D229" s="89" t="str">
        <f t="shared" si="3"/>
        <v>Чт</v>
      </c>
    </row>
    <row r="230" spans="1:4">
      <c r="A230" s="87" t="s">
        <v>242</v>
      </c>
      <c r="B230" s="88" t="s">
        <v>15</v>
      </c>
      <c r="C230" s="88">
        <v>523</v>
      </c>
      <c r="D230" s="89" t="str">
        <f t="shared" si="3"/>
        <v>Чт</v>
      </c>
    </row>
    <row r="231" spans="1:4">
      <c r="A231" s="87" t="s">
        <v>243</v>
      </c>
      <c r="B231" s="88" t="s">
        <v>17</v>
      </c>
      <c r="C231" s="88">
        <v>589</v>
      </c>
      <c r="D231" s="89" t="str">
        <f t="shared" si="3"/>
        <v>Чт</v>
      </c>
    </row>
    <row r="232" spans="1:4">
      <c r="A232" s="87" t="s">
        <v>244</v>
      </c>
      <c r="B232" s="88" t="s">
        <v>19</v>
      </c>
      <c r="C232" s="88">
        <v>24</v>
      </c>
      <c r="D232" s="89" t="str">
        <f t="shared" si="3"/>
        <v>Чт</v>
      </c>
    </row>
    <row r="233" spans="1:4">
      <c r="A233" s="87" t="s">
        <v>245</v>
      </c>
      <c r="B233" s="88" t="s">
        <v>21</v>
      </c>
      <c r="C233" s="88">
        <v>380</v>
      </c>
      <c r="D233" s="89" t="str">
        <f t="shared" si="3"/>
        <v>Чт</v>
      </c>
    </row>
    <row r="234" spans="1:4">
      <c r="A234" s="87" t="s">
        <v>246</v>
      </c>
      <c r="B234" s="88" t="s">
        <v>23</v>
      </c>
      <c r="C234" s="88">
        <v>573</v>
      </c>
      <c r="D234" s="89" t="str">
        <f t="shared" si="3"/>
        <v>Чт</v>
      </c>
    </row>
    <row r="235" spans="1:4">
      <c r="A235" s="87" t="s">
        <v>247</v>
      </c>
      <c r="B235" s="88" t="s">
        <v>5</v>
      </c>
      <c r="C235" s="88">
        <v>533</v>
      </c>
      <c r="D235" s="89" t="str">
        <f t="shared" si="3"/>
        <v>Чт</v>
      </c>
    </row>
    <row r="236" spans="1:4">
      <c r="A236" s="87" t="s">
        <v>248</v>
      </c>
      <c r="B236" s="88" t="s">
        <v>7</v>
      </c>
      <c r="C236" s="88">
        <v>120</v>
      </c>
      <c r="D236" s="89" t="str">
        <f t="shared" si="3"/>
        <v>Чт</v>
      </c>
    </row>
    <row r="237" spans="1:4">
      <c r="A237" s="87" t="s">
        <v>249</v>
      </c>
      <c r="B237" s="88" t="s">
        <v>9</v>
      </c>
      <c r="C237" s="88">
        <v>574</v>
      </c>
      <c r="D237" s="89" t="str">
        <f t="shared" si="3"/>
        <v>Чт</v>
      </c>
    </row>
    <row r="238" spans="1:4">
      <c r="A238" s="87" t="s">
        <v>250</v>
      </c>
      <c r="B238" s="88" t="s">
        <v>11</v>
      </c>
      <c r="C238" s="88">
        <v>312</v>
      </c>
      <c r="D238" s="89" t="str">
        <f t="shared" si="3"/>
        <v>Чт</v>
      </c>
    </row>
    <row r="239" spans="1:4">
      <c r="A239" s="87" t="s">
        <v>251</v>
      </c>
      <c r="B239" s="88" t="s">
        <v>13</v>
      </c>
      <c r="C239" s="88">
        <v>510</v>
      </c>
      <c r="D239" s="89" t="str">
        <f t="shared" si="3"/>
        <v>Чт</v>
      </c>
    </row>
    <row r="240" spans="1:4">
      <c r="A240" s="87" t="s">
        <v>252</v>
      </c>
      <c r="B240" s="88" t="s">
        <v>15</v>
      </c>
      <c r="C240" s="88">
        <v>408</v>
      </c>
      <c r="D240" s="89" t="str">
        <f t="shared" si="3"/>
        <v>Чт</v>
      </c>
    </row>
    <row r="241" spans="1:4">
      <c r="A241" s="87" t="s">
        <v>253</v>
      </c>
      <c r="B241" s="88" t="s">
        <v>17</v>
      </c>
      <c r="C241" s="88">
        <v>155</v>
      </c>
      <c r="D241" s="89" t="str">
        <f t="shared" si="3"/>
        <v>Чт</v>
      </c>
    </row>
    <row r="242" spans="1:4">
      <c r="A242" s="87" t="s">
        <v>254</v>
      </c>
      <c r="B242" s="88" t="s">
        <v>19</v>
      </c>
      <c r="C242" s="88">
        <v>390</v>
      </c>
      <c r="D242" s="89" t="str">
        <f t="shared" si="3"/>
        <v>Пт</v>
      </c>
    </row>
    <row r="243" spans="1:4">
      <c r="A243" s="87" t="s">
        <v>255</v>
      </c>
      <c r="B243" s="88" t="s">
        <v>21</v>
      </c>
      <c r="C243" s="88">
        <v>251</v>
      </c>
      <c r="D243" s="89" t="str">
        <f t="shared" si="3"/>
        <v>Пт</v>
      </c>
    </row>
    <row r="244" spans="1:4">
      <c r="A244" s="87" t="s">
        <v>256</v>
      </c>
      <c r="B244" s="88" t="s">
        <v>23</v>
      </c>
      <c r="C244" s="88">
        <v>401</v>
      </c>
      <c r="D244" s="89" t="str">
        <f t="shared" si="3"/>
        <v>Пт</v>
      </c>
    </row>
    <row r="245" spans="1:4">
      <c r="A245" s="87" t="s">
        <v>257</v>
      </c>
      <c r="B245" s="88" t="s">
        <v>5</v>
      </c>
      <c r="C245" s="88">
        <v>5</v>
      </c>
      <c r="D245" s="89" t="str">
        <f t="shared" si="3"/>
        <v>Пт</v>
      </c>
    </row>
    <row r="246" spans="1:4">
      <c r="A246" s="87" t="s">
        <v>258</v>
      </c>
      <c r="B246" s="88" t="s">
        <v>7</v>
      </c>
      <c r="C246" s="88">
        <v>53</v>
      </c>
      <c r="D246" s="89" t="str">
        <f t="shared" si="3"/>
        <v>Пт</v>
      </c>
    </row>
    <row r="247" spans="1:4">
      <c r="A247" s="87" t="s">
        <v>259</v>
      </c>
      <c r="B247" s="88" t="s">
        <v>9</v>
      </c>
      <c r="C247" s="88">
        <v>121</v>
      </c>
      <c r="D247" s="89" t="str">
        <f t="shared" si="3"/>
        <v>Пт</v>
      </c>
    </row>
    <row r="248" spans="1:4">
      <c r="A248" s="87" t="s">
        <v>260</v>
      </c>
      <c r="B248" s="88" t="s">
        <v>11</v>
      </c>
      <c r="C248" s="88">
        <v>431</v>
      </c>
      <c r="D248" s="89" t="str">
        <f t="shared" si="3"/>
        <v>Пт</v>
      </c>
    </row>
    <row r="249" spans="1:4">
      <c r="A249" s="87" t="s">
        <v>261</v>
      </c>
      <c r="B249" s="88" t="s">
        <v>13</v>
      </c>
      <c r="C249" s="88">
        <v>199</v>
      </c>
      <c r="D249" s="89" t="str">
        <f t="shared" si="3"/>
        <v>Пт</v>
      </c>
    </row>
    <row r="250" spans="1:4">
      <c r="A250" s="87" t="s">
        <v>262</v>
      </c>
      <c r="B250" s="88" t="s">
        <v>15</v>
      </c>
      <c r="C250" s="88">
        <v>89</v>
      </c>
      <c r="D250" s="89" t="str">
        <f t="shared" si="3"/>
        <v>Пт</v>
      </c>
    </row>
    <row r="251" spans="1:4">
      <c r="A251" s="87" t="s">
        <v>263</v>
      </c>
      <c r="B251" s="88" t="s">
        <v>17</v>
      </c>
      <c r="C251" s="88">
        <v>292</v>
      </c>
      <c r="D251" s="89" t="str">
        <f t="shared" si="3"/>
        <v>Пт</v>
      </c>
    </row>
    <row r="252" spans="1:4">
      <c r="A252" s="87" t="s">
        <v>264</v>
      </c>
      <c r="B252" s="88" t="s">
        <v>19</v>
      </c>
      <c r="C252" s="88">
        <v>508</v>
      </c>
      <c r="D252" s="89" t="str">
        <f t="shared" si="3"/>
        <v>Пт</v>
      </c>
    </row>
    <row r="253" spans="1:4">
      <c r="A253" s="87" t="s">
        <v>265</v>
      </c>
      <c r="B253" s="88" t="s">
        <v>21</v>
      </c>
      <c r="C253" s="88">
        <v>275</v>
      </c>
      <c r="D253" s="89" t="str">
        <f t="shared" si="3"/>
        <v>Пт</v>
      </c>
    </row>
    <row r="254" spans="1:4">
      <c r="A254" s="87" t="s">
        <v>266</v>
      </c>
      <c r="B254" s="88" t="s">
        <v>23</v>
      </c>
      <c r="C254" s="88">
        <v>520</v>
      </c>
      <c r="D254" s="89" t="str">
        <f t="shared" si="3"/>
        <v>Пт</v>
      </c>
    </row>
    <row r="255" spans="1:4">
      <c r="A255" s="87" t="s">
        <v>267</v>
      </c>
      <c r="B255" s="88" t="s">
        <v>5</v>
      </c>
      <c r="C255" s="88">
        <v>378</v>
      </c>
      <c r="D255" s="89" t="str">
        <f t="shared" si="3"/>
        <v>Пт</v>
      </c>
    </row>
    <row r="256" spans="1:4">
      <c r="A256" s="87" t="s">
        <v>268</v>
      </c>
      <c r="B256" s="88" t="s">
        <v>7</v>
      </c>
      <c r="C256" s="88">
        <v>624</v>
      </c>
      <c r="D256" s="89" t="str">
        <f t="shared" si="3"/>
        <v>Пт</v>
      </c>
    </row>
    <row r="257" spans="1:4">
      <c r="A257" s="87" t="s">
        <v>269</v>
      </c>
      <c r="B257" s="88" t="s">
        <v>9</v>
      </c>
      <c r="C257" s="88">
        <v>73</v>
      </c>
      <c r="D257" s="89" t="str">
        <f t="shared" si="3"/>
        <v>Пт</v>
      </c>
    </row>
    <row r="258" spans="1:4">
      <c r="A258" s="87" t="s">
        <v>270</v>
      </c>
      <c r="B258" s="88" t="s">
        <v>11</v>
      </c>
      <c r="C258" s="88">
        <v>569</v>
      </c>
      <c r="D258" s="89" t="str">
        <f t="shared" ref="D258:D321" si="4">CHOOSE(WEEKDAY(DATE(VALUE(LEFT(A258,4)),VALUE(MID(A258,6,2)),VALUE(MID(A258,9,2))),2),"Пн","Вт","Ср","Чт","Пт","Сб","Вс")</f>
        <v>Пт</v>
      </c>
    </row>
    <row r="259" spans="1:4">
      <c r="A259" s="87" t="s">
        <v>271</v>
      </c>
      <c r="B259" s="88" t="s">
        <v>13</v>
      </c>
      <c r="C259" s="88">
        <v>634</v>
      </c>
      <c r="D259" s="89" t="str">
        <f t="shared" si="4"/>
        <v>Пт</v>
      </c>
    </row>
    <row r="260" spans="1:4">
      <c r="A260" s="87" t="s">
        <v>272</v>
      </c>
      <c r="B260" s="88" t="s">
        <v>15</v>
      </c>
      <c r="C260" s="88">
        <v>27</v>
      </c>
      <c r="D260" s="89" t="str">
        <f t="shared" si="4"/>
        <v>Пт</v>
      </c>
    </row>
    <row r="261" spans="1:4">
      <c r="A261" s="87" t="s">
        <v>273</v>
      </c>
      <c r="B261" s="88" t="s">
        <v>17</v>
      </c>
      <c r="C261" s="88">
        <v>642</v>
      </c>
      <c r="D261" s="89" t="str">
        <f t="shared" si="4"/>
        <v>Пт</v>
      </c>
    </row>
    <row r="262" spans="1:4">
      <c r="A262" s="87" t="s">
        <v>274</v>
      </c>
      <c r="B262" s="88" t="s">
        <v>19</v>
      </c>
      <c r="C262" s="88">
        <v>201</v>
      </c>
      <c r="D262" s="89" t="str">
        <f t="shared" si="4"/>
        <v>Пт</v>
      </c>
    </row>
    <row r="263" spans="1:4">
      <c r="A263" s="87" t="s">
        <v>275</v>
      </c>
      <c r="B263" s="88" t="s">
        <v>21</v>
      </c>
      <c r="C263" s="88">
        <v>266</v>
      </c>
      <c r="D263" s="89" t="str">
        <f t="shared" si="4"/>
        <v>Пт</v>
      </c>
    </row>
    <row r="264" spans="1:4">
      <c r="A264" s="87" t="s">
        <v>276</v>
      </c>
      <c r="B264" s="88" t="s">
        <v>23</v>
      </c>
      <c r="C264" s="88">
        <v>512</v>
      </c>
      <c r="D264" s="89" t="str">
        <f t="shared" si="4"/>
        <v>Пт</v>
      </c>
    </row>
    <row r="265" ht="15.15" spans="1:4">
      <c r="A265" s="90" t="s">
        <v>277</v>
      </c>
      <c r="B265" s="91" t="s">
        <v>5</v>
      </c>
      <c r="C265" s="91">
        <v>154</v>
      </c>
      <c r="D265" s="92" t="str">
        <f t="shared" si="4"/>
        <v>Пт</v>
      </c>
    </row>
    <row r="266" hidden="1" spans="1:4">
      <c r="A266" s="118" t="s">
        <v>278</v>
      </c>
      <c r="B266" s="119" t="s">
        <v>7</v>
      </c>
      <c r="C266" s="119">
        <v>74</v>
      </c>
      <c r="D266" s="120" t="str">
        <f t="shared" si="4"/>
        <v>Сб</v>
      </c>
    </row>
    <row r="267" hidden="1" spans="1:4">
      <c r="A267" s="121" t="s">
        <v>279</v>
      </c>
      <c r="B267" s="88" t="s">
        <v>9</v>
      </c>
      <c r="C267" s="88">
        <v>197</v>
      </c>
      <c r="D267" s="115" t="str">
        <f t="shared" si="4"/>
        <v>Сб</v>
      </c>
    </row>
    <row r="268" hidden="1" spans="1:4">
      <c r="A268" s="121" t="s">
        <v>280</v>
      </c>
      <c r="B268" s="88" t="s">
        <v>11</v>
      </c>
      <c r="C268" s="88">
        <v>628</v>
      </c>
      <c r="D268" s="115" t="str">
        <f t="shared" si="4"/>
        <v>Сб</v>
      </c>
    </row>
    <row r="269" hidden="1" spans="1:4">
      <c r="A269" s="121" t="s">
        <v>281</v>
      </c>
      <c r="B269" s="88" t="s">
        <v>13</v>
      </c>
      <c r="C269" s="88">
        <v>108</v>
      </c>
      <c r="D269" s="115" t="str">
        <f t="shared" si="4"/>
        <v>Сб</v>
      </c>
    </row>
    <row r="270" hidden="1" spans="1:4">
      <c r="A270" s="121" t="s">
        <v>282</v>
      </c>
      <c r="B270" s="88" t="s">
        <v>15</v>
      </c>
      <c r="C270" s="88">
        <v>334</v>
      </c>
      <c r="D270" s="115" t="str">
        <f t="shared" si="4"/>
        <v>Сб</v>
      </c>
    </row>
    <row r="271" hidden="1" spans="1:4">
      <c r="A271" s="121" t="s">
        <v>283</v>
      </c>
      <c r="B271" s="88" t="s">
        <v>17</v>
      </c>
      <c r="C271" s="88">
        <v>195</v>
      </c>
      <c r="D271" s="115" t="str">
        <f t="shared" si="4"/>
        <v>Сб</v>
      </c>
    </row>
    <row r="272" hidden="1" spans="1:4">
      <c r="A272" s="121" t="s">
        <v>284</v>
      </c>
      <c r="B272" s="88" t="s">
        <v>19</v>
      </c>
      <c r="C272" s="88">
        <v>184</v>
      </c>
      <c r="D272" s="115" t="str">
        <f t="shared" si="4"/>
        <v>Сб</v>
      </c>
    </row>
    <row r="273" hidden="1" spans="1:4">
      <c r="A273" s="121" t="s">
        <v>285</v>
      </c>
      <c r="B273" s="88" t="s">
        <v>21</v>
      </c>
      <c r="C273" s="88">
        <v>427</v>
      </c>
      <c r="D273" s="115" t="str">
        <f t="shared" si="4"/>
        <v>Сб</v>
      </c>
    </row>
    <row r="274" hidden="1" spans="1:4">
      <c r="A274" s="121" t="s">
        <v>286</v>
      </c>
      <c r="B274" s="88" t="s">
        <v>23</v>
      </c>
      <c r="C274" s="88">
        <v>19</v>
      </c>
      <c r="D274" s="115" t="str">
        <f t="shared" si="4"/>
        <v>Сб</v>
      </c>
    </row>
    <row r="275" hidden="1" spans="1:4">
      <c r="A275" s="121" t="s">
        <v>287</v>
      </c>
      <c r="B275" s="88" t="s">
        <v>5</v>
      </c>
      <c r="C275" s="88">
        <v>299</v>
      </c>
      <c r="D275" s="115" t="str">
        <f t="shared" si="4"/>
        <v>Сб</v>
      </c>
    </row>
    <row r="276" hidden="1" spans="1:4">
      <c r="A276" s="121" t="s">
        <v>288</v>
      </c>
      <c r="B276" s="88" t="s">
        <v>7</v>
      </c>
      <c r="C276" s="88">
        <v>627</v>
      </c>
      <c r="D276" s="115" t="str">
        <f t="shared" si="4"/>
        <v>Сб</v>
      </c>
    </row>
    <row r="277" hidden="1" spans="1:4">
      <c r="A277" s="121" t="s">
        <v>289</v>
      </c>
      <c r="B277" s="88" t="s">
        <v>9</v>
      </c>
      <c r="C277" s="88">
        <v>620</v>
      </c>
      <c r="D277" s="115" t="str">
        <f t="shared" si="4"/>
        <v>Сб</v>
      </c>
    </row>
    <row r="278" hidden="1" spans="1:4">
      <c r="A278" s="121" t="s">
        <v>290</v>
      </c>
      <c r="B278" s="88" t="s">
        <v>11</v>
      </c>
      <c r="C278" s="88">
        <v>106</v>
      </c>
      <c r="D278" s="115" t="str">
        <f t="shared" si="4"/>
        <v>Сб</v>
      </c>
    </row>
    <row r="279" hidden="1" spans="1:4">
      <c r="A279" s="121" t="s">
        <v>291</v>
      </c>
      <c r="B279" s="88" t="s">
        <v>13</v>
      </c>
      <c r="C279" s="88">
        <v>280</v>
      </c>
      <c r="D279" s="115" t="str">
        <f t="shared" si="4"/>
        <v>Сб</v>
      </c>
    </row>
    <row r="280" hidden="1" spans="1:4">
      <c r="A280" s="121" t="s">
        <v>292</v>
      </c>
      <c r="B280" s="88" t="s">
        <v>15</v>
      </c>
      <c r="C280" s="88">
        <v>457</v>
      </c>
      <c r="D280" s="115" t="str">
        <f t="shared" si="4"/>
        <v>Сб</v>
      </c>
    </row>
    <row r="281" hidden="1" spans="1:4">
      <c r="A281" s="121" t="s">
        <v>293</v>
      </c>
      <c r="B281" s="88" t="s">
        <v>17</v>
      </c>
      <c r="C281" s="88">
        <v>15</v>
      </c>
      <c r="D281" s="115" t="str">
        <f t="shared" si="4"/>
        <v>Сб</v>
      </c>
    </row>
    <row r="282" hidden="1" spans="1:4">
      <c r="A282" s="121" t="s">
        <v>294</v>
      </c>
      <c r="B282" s="88" t="s">
        <v>19</v>
      </c>
      <c r="C282" s="88">
        <v>208</v>
      </c>
      <c r="D282" s="115" t="str">
        <f t="shared" si="4"/>
        <v>Сб</v>
      </c>
    </row>
    <row r="283" hidden="1" spans="1:4">
      <c r="A283" s="121" t="s">
        <v>295</v>
      </c>
      <c r="B283" s="88" t="s">
        <v>21</v>
      </c>
      <c r="C283" s="88">
        <v>136</v>
      </c>
      <c r="D283" s="115" t="str">
        <f t="shared" si="4"/>
        <v>Сб</v>
      </c>
    </row>
    <row r="284" hidden="1" spans="1:4">
      <c r="A284" s="121" t="s">
        <v>296</v>
      </c>
      <c r="B284" s="88" t="s">
        <v>23</v>
      </c>
      <c r="C284" s="88">
        <v>65</v>
      </c>
      <c r="D284" s="115" t="str">
        <f t="shared" si="4"/>
        <v>Сб</v>
      </c>
    </row>
    <row r="285" hidden="1" spans="1:4">
      <c r="A285" s="121" t="s">
        <v>297</v>
      </c>
      <c r="B285" s="88" t="s">
        <v>5</v>
      </c>
      <c r="C285" s="88">
        <v>25</v>
      </c>
      <c r="D285" s="115" t="str">
        <f t="shared" si="4"/>
        <v>Сб</v>
      </c>
    </row>
    <row r="286" hidden="1" spans="1:4">
      <c r="A286" s="121" t="s">
        <v>298</v>
      </c>
      <c r="B286" s="88" t="s">
        <v>7</v>
      </c>
      <c r="C286" s="88">
        <v>22</v>
      </c>
      <c r="D286" s="115" t="str">
        <f t="shared" si="4"/>
        <v>Сб</v>
      </c>
    </row>
    <row r="287" hidden="1" spans="1:4">
      <c r="A287" s="121" t="s">
        <v>299</v>
      </c>
      <c r="B287" s="88" t="s">
        <v>9</v>
      </c>
      <c r="C287" s="88">
        <v>279</v>
      </c>
      <c r="D287" s="115" t="str">
        <f t="shared" si="4"/>
        <v>Сб</v>
      </c>
    </row>
    <row r="288" hidden="1" spans="1:4">
      <c r="A288" s="121" t="s">
        <v>300</v>
      </c>
      <c r="B288" s="88" t="s">
        <v>11</v>
      </c>
      <c r="C288" s="88">
        <v>30</v>
      </c>
      <c r="D288" s="115" t="str">
        <f t="shared" si="4"/>
        <v>Сб</v>
      </c>
    </row>
    <row r="289" hidden="1" spans="1:4">
      <c r="A289" s="121" t="s">
        <v>301</v>
      </c>
      <c r="B289" s="88" t="s">
        <v>13</v>
      </c>
      <c r="C289" s="88">
        <v>273</v>
      </c>
      <c r="D289" s="115" t="str">
        <f t="shared" si="4"/>
        <v>Сб</v>
      </c>
    </row>
    <row r="290" hidden="1" spans="1:4">
      <c r="A290" s="121" t="s">
        <v>302</v>
      </c>
      <c r="B290" s="88" t="s">
        <v>15</v>
      </c>
      <c r="C290" s="88">
        <v>239</v>
      </c>
      <c r="D290" s="115" t="str">
        <f t="shared" si="4"/>
        <v>Вс</v>
      </c>
    </row>
    <row r="291" hidden="1" spans="1:4">
      <c r="A291" s="121" t="s">
        <v>303</v>
      </c>
      <c r="B291" s="88" t="s">
        <v>17</v>
      </c>
      <c r="C291" s="88">
        <v>395</v>
      </c>
      <c r="D291" s="115" t="str">
        <f t="shared" si="4"/>
        <v>Вс</v>
      </c>
    </row>
    <row r="292" hidden="1" spans="1:4">
      <c r="A292" s="121" t="s">
        <v>304</v>
      </c>
      <c r="B292" s="88" t="s">
        <v>19</v>
      </c>
      <c r="C292" s="88">
        <v>581</v>
      </c>
      <c r="D292" s="115" t="str">
        <f t="shared" si="4"/>
        <v>Вс</v>
      </c>
    </row>
    <row r="293" hidden="1" spans="1:4">
      <c r="A293" s="121" t="s">
        <v>305</v>
      </c>
      <c r="B293" s="88" t="s">
        <v>21</v>
      </c>
      <c r="C293" s="88">
        <v>32</v>
      </c>
      <c r="D293" s="115" t="str">
        <f t="shared" si="4"/>
        <v>Вс</v>
      </c>
    </row>
    <row r="294" hidden="1" spans="1:4">
      <c r="A294" s="121" t="s">
        <v>306</v>
      </c>
      <c r="B294" s="88" t="s">
        <v>23</v>
      </c>
      <c r="C294" s="88">
        <v>499</v>
      </c>
      <c r="D294" s="115" t="str">
        <f t="shared" si="4"/>
        <v>Вс</v>
      </c>
    </row>
    <row r="295" hidden="1" spans="1:4">
      <c r="A295" s="121" t="s">
        <v>307</v>
      </c>
      <c r="B295" s="88" t="s">
        <v>5</v>
      </c>
      <c r="C295" s="88">
        <v>515</v>
      </c>
      <c r="D295" s="115" t="str">
        <f t="shared" si="4"/>
        <v>Вс</v>
      </c>
    </row>
    <row r="296" hidden="1" spans="1:4">
      <c r="A296" s="121" t="s">
        <v>308</v>
      </c>
      <c r="B296" s="88" t="s">
        <v>7</v>
      </c>
      <c r="C296" s="88">
        <v>71</v>
      </c>
      <c r="D296" s="115" t="str">
        <f t="shared" si="4"/>
        <v>Вс</v>
      </c>
    </row>
    <row r="297" hidden="1" spans="1:4">
      <c r="A297" s="121" t="s">
        <v>309</v>
      </c>
      <c r="B297" s="88" t="s">
        <v>9</v>
      </c>
      <c r="C297" s="88">
        <v>90</v>
      </c>
      <c r="D297" s="115" t="str">
        <f t="shared" si="4"/>
        <v>Вс</v>
      </c>
    </row>
    <row r="298" hidden="1" spans="1:4">
      <c r="A298" s="121" t="s">
        <v>310</v>
      </c>
      <c r="B298" s="88" t="s">
        <v>11</v>
      </c>
      <c r="C298" s="88">
        <v>482</v>
      </c>
      <c r="D298" s="115" t="str">
        <f t="shared" si="4"/>
        <v>Вс</v>
      </c>
    </row>
    <row r="299" hidden="1" spans="1:4">
      <c r="A299" s="121" t="s">
        <v>311</v>
      </c>
      <c r="B299" s="88" t="s">
        <v>13</v>
      </c>
      <c r="C299" s="88">
        <v>147</v>
      </c>
      <c r="D299" s="115" t="str">
        <f t="shared" si="4"/>
        <v>Вс</v>
      </c>
    </row>
    <row r="300" hidden="1" spans="1:4">
      <c r="A300" s="121" t="s">
        <v>312</v>
      </c>
      <c r="B300" s="88" t="s">
        <v>15</v>
      </c>
      <c r="C300" s="88">
        <v>593</v>
      </c>
      <c r="D300" s="115" t="str">
        <f t="shared" si="4"/>
        <v>Вс</v>
      </c>
    </row>
    <row r="301" hidden="1" spans="1:4">
      <c r="A301" s="121" t="s">
        <v>313</v>
      </c>
      <c r="B301" s="88" t="s">
        <v>17</v>
      </c>
      <c r="C301" s="88">
        <v>315</v>
      </c>
      <c r="D301" s="115" t="str">
        <f t="shared" si="4"/>
        <v>Вс</v>
      </c>
    </row>
    <row r="302" hidden="1" spans="1:4">
      <c r="A302" s="121" t="s">
        <v>314</v>
      </c>
      <c r="B302" s="88" t="s">
        <v>19</v>
      </c>
      <c r="C302" s="88">
        <v>229</v>
      </c>
      <c r="D302" s="115" t="str">
        <f t="shared" si="4"/>
        <v>Вс</v>
      </c>
    </row>
    <row r="303" hidden="1" spans="1:4">
      <c r="A303" s="121" t="s">
        <v>315</v>
      </c>
      <c r="B303" s="88" t="s">
        <v>21</v>
      </c>
      <c r="C303" s="88">
        <v>491</v>
      </c>
      <c r="D303" s="115" t="str">
        <f t="shared" si="4"/>
        <v>Вс</v>
      </c>
    </row>
    <row r="304" hidden="1" spans="1:4">
      <c r="A304" s="121" t="s">
        <v>316</v>
      </c>
      <c r="B304" s="88" t="s">
        <v>23</v>
      </c>
      <c r="C304" s="88">
        <v>63</v>
      </c>
      <c r="D304" s="115" t="str">
        <f t="shared" si="4"/>
        <v>Вс</v>
      </c>
    </row>
    <row r="305" hidden="1" spans="1:4">
      <c r="A305" s="121" t="s">
        <v>317</v>
      </c>
      <c r="B305" s="88" t="s">
        <v>5</v>
      </c>
      <c r="C305" s="88">
        <v>297</v>
      </c>
      <c r="D305" s="115" t="str">
        <f t="shared" si="4"/>
        <v>Вс</v>
      </c>
    </row>
    <row r="306" hidden="1" spans="1:4">
      <c r="A306" s="121" t="s">
        <v>318</v>
      </c>
      <c r="B306" s="88" t="s">
        <v>7</v>
      </c>
      <c r="C306" s="88">
        <v>260</v>
      </c>
      <c r="D306" s="115" t="str">
        <f t="shared" si="4"/>
        <v>Вс</v>
      </c>
    </row>
    <row r="307" hidden="1" spans="1:4">
      <c r="A307" s="121" t="s">
        <v>319</v>
      </c>
      <c r="B307" s="88" t="s">
        <v>9</v>
      </c>
      <c r="C307" s="88">
        <v>288</v>
      </c>
      <c r="D307" s="115" t="str">
        <f t="shared" si="4"/>
        <v>Вс</v>
      </c>
    </row>
    <row r="308" hidden="1" spans="1:4">
      <c r="A308" s="121" t="s">
        <v>320</v>
      </c>
      <c r="B308" s="88" t="s">
        <v>11</v>
      </c>
      <c r="C308" s="88">
        <v>231</v>
      </c>
      <c r="D308" s="115" t="str">
        <f t="shared" si="4"/>
        <v>Вс</v>
      </c>
    </row>
    <row r="309" hidden="1" spans="1:4">
      <c r="A309" s="121" t="s">
        <v>321</v>
      </c>
      <c r="B309" s="88" t="s">
        <v>13</v>
      </c>
      <c r="C309" s="88">
        <v>193</v>
      </c>
      <c r="D309" s="115" t="str">
        <f t="shared" si="4"/>
        <v>Вс</v>
      </c>
    </row>
    <row r="310" hidden="1" spans="1:4">
      <c r="A310" s="121" t="s">
        <v>322</v>
      </c>
      <c r="B310" s="88" t="s">
        <v>15</v>
      </c>
      <c r="C310" s="88">
        <v>2</v>
      </c>
      <c r="D310" s="115" t="str">
        <f t="shared" si="4"/>
        <v>Вс</v>
      </c>
    </row>
    <row r="311" hidden="1" spans="1:4">
      <c r="A311" s="121" t="s">
        <v>323</v>
      </c>
      <c r="B311" s="88" t="s">
        <v>17</v>
      </c>
      <c r="C311" s="88">
        <v>421</v>
      </c>
      <c r="D311" s="115" t="str">
        <f t="shared" si="4"/>
        <v>Вс</v>
      </c>
    </row>
    <row r="312" hidden="1" spans="1:4">
      <c r="A312" s="121" t="s">
        <v>324</v>
      </c>
      <c r="B312" s="88" t="s">
        <v>19</v>
      </c>
      <c r="C312" s="88">
        <v>500</v>
      </c>
      <c r="D312" s="115" t="str">
        <f t="shared" si="4"/>
        <v>Вс</v>
      </c>
    </row>
    <row r="313" ht="15.15" hidden="1" spans="1:4">
      <c r="A313" s="122" t="s">
        <v>325</v>
      </c>
      <c r="B313" s="123" t="s">
        <v>21</v>
      </c>
      <c r="C313" s="123">
        <v>200</v>
      </c>
      <c r="D313" s="124" t="str">
        <f t="shared" si="4"/>
        <v>Вс</v>
      </c>
    </row>
    <row r="314" spans="1:4">
      <c r="A314" s="84" t="s">
        <v>326</v>
      </c>
      <c r="B314" s="85" t="s">
        <v>23</v>
      </c>
      <c r="C314" s="85">
        <v>394</v>
      </c>
      <c r="D314" s="86" t="str">
        <f t="shared" si="4"/>
        <v>Пн</v>
      </c>
    </row>
    <row r="315" spans="1:4">
      <c r="A315" s="87" t="s">
        <v>327</v>
      </c>
      <c r="B315" s="88" t="s">
        <v>5</v>
      </c>
      <c r="C315" s="88">
        <v>566</v>
      </c>
      <c r="D315" s="89" t="str">
        <f t="shared" si="4"/>
        <v>Пн</v>
      </c>
    </row>
    <row r="316" spans="1:4">
      <c r="A316" s="87" t="s">
        <v>328</v>
      </c>
      <c r="B316" s="88" t="s">
        <v>7</v>
      </c>
      <c r="C316" s="88">
        <v>497</v>
      </c>
      <c r="D316" s="89" t="str">
        <f t="shared" si="4"/>
        <v>Пн</v>
      </c>
    </row>
    <row r="317" spans="1:4">
      <c r="A317" s="87" t="s">
        <v>329</v>
      </c>
      <c r="B317" s="88" t="s">
        <v>9</v>
      </c>
      <c r="C317" s="88">
        <v>419</v>
      </c>
      <c r="D317" s="89" t="str">
        <f t="shared" si="4"/>
        <v>Пн</v>
      </c>
    </row>
    <row r="318" spans="1:4">
      <c r="A318" s="87" t="s">
        <v>330</v>
      </c>
      <c r="B318" s="88" t="s">
        <v>11</v>
      </c>
      <c r="C318" s="88">
        <v>530</v>
      </c>
      <c r="D318" s="89" t="str">
        <f t="shared" si="4"/>
        <v>Пн</v>
      </c>
    </row>
    <row r="319" spans="1:4">
      <c r="A319" s="87" t="s">
        <v>331</v>
      </c>
      <c r="B319" s="88" t="s">
        <v>13</v>
      </c>
      <c r="C319" s="88">
        <v>224</v>
      </c>
      <c r="D319" s="89" t="str">
        <f t="shared" si="4"/>
        <v>Пн</v>
      </c>
    </row>
    <row r="320" spans="1:4">
      <c r="A320" s="87" t="s">
        <v>332</v>
      </c>
      <c r="B320" s="88" t="s">
        <v>15</v>
      </c>
      <c r="C320" s="88">
        <v>177</v>
      </c>
      <c r="D320" s="89" t="str">
        <f t="shared" si="4"/>
        <v>Пн</v>
      </c>
    </row>
    <row r="321" spans="1:4">
      <c r="A321" s="87" t="s">
        <v>333</v>
      </c>
      <c r="B321" s="88" t="s">
        <v>17</v>
      </c>
      <c r="C321" s="88">
        <v>153</v>
      </c>
      <c r="D321" s="89" t="str">
        <f t="shared" si="4"/>
        <v>Пн</v>
      </c>
    </row>
    <row r="322" spans="1:4">
      <c r="A322" s="87" t="s">
        <v>334</v>
      </c>
      <c r="B322" s="88" t="s">
        <v>19</v>
      </c>
      <c r="C322" s="88">
        <v>637</v>
      </c>
      <c r="D322" s="89" t="str">
        <f t="shared" ref="D322:D385" si="5">CHOOSE(WEEKDAY(DATE(VALUE(LEFT(A322,4)),VALUE(MID(A322,6,2)),VALUE(MID(A322,9,2))),2),"Пн","Вт","Ср","Чт","Пт","Сб","Вс")</f>
        <v>Пн</v>
      </c>
    </row>
    <row r="323" spans="1:4">
      <c r="A323" s="87" t="s">
        <v>335</v>
      </c>
      <c r="B323" s="88" t="s">
        <v>21</v>
      </c>
      <c r="C323" s="88">
        <v>56</v>
      </c>
      <c r="D323" s="89" t="str">
        <f t="shared" si="5"/>
        <v>Пн</v>
      </c>
    </row>
    <row r="324" spans="1:4">
      <c r="A324" s="87" t="s">
        <v>336</v>
      </c>
      <c r="B324" s="88" t="s">
        <v>23</v>
      </c>
      <c r="C324" s="88">
        <v>477</v>
      </c>
      <c r="D324" s="89" t="str">
        <f t="shared" si="5"/>
        <v>Пн</v>
      </c>
    </row>
    <row r="325" spans="1:4">
      <c r="A325" s="87" t="s">
        <v>337</v>
      </c>
      <c r="B325" s="88" t="s">
        <v>5</v>
      </c>
      <c r="C325" s="88">
        <v>398</v>
      </c>
      <c r="D325" s="89" t="str">
        <f t="shared" si="5"/>
        <v>Пн</v>
      </c>
    </row>
    <row r="326" spans="1:4">
      <c r="A326" s="87" t="s">
        <v>338</v>
      </c>
      <c r="B326" s="88" t="s">
        <v>7</v>
      </c>
      <c r="C326" s="88">
        <v>416</v>
      </c>
      <c r="D326" s="89" t="str">
        <f t="shared" si="5"/>
        <v>Пн</v>
      </c>
    </row>
    <row r="327" spans="1:4">
      <c r="A327" s="87" t="s">
        <v>339</v>
      </c>
      <c r="B327" s="88" t="s">
        <v>9</v>
      </c>
      <c r="C327" s="88">
        <v>558</v>
      </c>
      <c r="D327" s="89" t="str">
        <f t="shared" si="5"/>
        <v>Пн</v>
      </c>
    </row>
    <row r="328" spans="1:4">
      <c r="A328" s="87" t="s">
        <v>340</v>
      </c>
      <c r="B328" s="88" t="s">
        <v>11</v>
      </c>
      <c r="C328" s="88">
        <v>329</v>
      </c>
      <c r="D328" s="89" t="str">
        <f t="shared" si="5"/>
        <v>Пн</v>
      </c>
    </row>
    <row r="329" spans="1:4">
      <c r="A329" s="87" t="s">
        <v>341</v>
      </c>
      <c r="B329" s="88" t="s">
        <v>13</v>
      </c>
      <c r="C329" s="88">
        <v>300</v>
      </c>
      <c r="D329" s="89" t="str">
        <f t="shared" si="5"/>
        <v>Пн</v>
      </c>
    </row>
    <row r="330" spans="1:4">
      <c r="A330" s="87" t="s">
        <v>342</v>
      </c>
      <c r="B330" s="88" t="s">
        <v>15</v>
      </c>
      <c r="C330" s="88">
        <v>145</v>
      </c>
      <c r="D330" s="89" t="str">
        <f t="shared" si="5"/>
        <v>Пн</v>
      </c>
    </row>
    <row r="331" spans="1:4">
      <c r="A331" s="87" t="s">
        <v>343</v>
      </c>
      <c r="B331" s="88" t="s">
        <v>17</v>
      </c>
      <c r="C331" s="88">
        <v>452</v>
      </c>
      <c r="D331" s="89" t="str">
        <f t="shared" si="5"/>
        <v>Пн</v>
      </c>
    </row>
    <row r="332" spans="1:4">
      <c r="A332" s="87" t="s">
        <v>344</v>
      </c>
      <c r="B332" s="88" t="s">
        <v>19</v>
      </c>
      <c r="C332" s="88">
        <v>577</v>
      </c>
      <c r="D332" s="89" t="str">
        <f t="shared" si="5"/>
        <v>Пн</v>
      </c>
    </row>
    <row r="333" spans="1:4">
      <c r="A333" s="87" t="s">
        <v>345</v>
      </c>
      <c r="B333" s="88" t="s">
        <v>21</v>
      </c>
      <c r="C333" s="88">
        <v>511</v>
      </c>
      <c r="D333" s="89" t="str">
        <f t="shared" si="5"/>
        <v>Пн</v>
      </c>
    </row>
    <row r="334" spans="1:4">
      <c r="A334" s="87" t="s">
        <v>346</v>
      </c>
      <c r="B334" s="88" t="s">
        <v>23</v>
      </c>
      <c r="C334" s="88">
        <v>543</v>
      </c>
      <c r="D334" s="89" t="str">
        <f t="shared" si="5"/>
        <v>Пн</v>
      </c>
    </row>
    <row r="335" spans="1:4">
      <c r="A335" s="87" t="s">
        <v>347</v>
      </c>
      <c r="B335" s="88" t="s">
        <v>5</v>
      </c>
      <c r="C335" s="88">
        <v>372</v>
      </c>
      <c r="D335" s="89" t="str">
        <f t="shared" si="5"/>
        <v>Пн</v>
      </c>
    </row>
    <row r="336" spans="1:4">
      <c r="A336" s="87" t="s">
        <v>348</v>
      </c>
      <c r="B336" s="88" t="s">
        <v>7</v>
      </c>
      <c r="C336" s="88">
        <v>183</v>
      </c>
      <c r="D336" s="89" t="str">
        <f t="shared" si="5"/>
        <v>Пн</v>
      </c>
    </row>
    <row r="337" spans="1:4">
      <c r="A337" s="87" t="s">
        <v>349</v>
      </c>
      <c r="B337" s="88" t="s">
        <v>9</v>
      </c>
      <c r="C337" s="88">
        <v>392</v>
      </c>
      <c r="D337" s="89" t="str">
        <f t="shared" si="5"/>
        <v>Пн</v>
      </c>
    </row>
    <row r="338" spans="1:4">
      <c r="A338" s="87" t="s">
        <v>350</v>
      </c>
      <c r="B338" s="88" t="s">
        <v>11</v>
      </c>
      <c r="C338" s="88">
        <v>460</v>
      </c>
      <c r="D338" s="89" t="str">
        <f t="shared" si="5"/>
        <v>Вт</v>
      </c>
    </row>
    <row r="339" spans="1:4">
      <c r="A339" s="87" t="s">
        <v>351</v>
      </c>
      <c r="B339" s="88" t="s">
        <v>13</v>
      </c>
      <c r="C339" s="88">
        <v>112</v>
      </c>
      <c r="D339" s="89" t="str">
        <f t="shared" si="5"/>
        <v>Вт</v>
      </c>
    </row>
    <row r="340" spans="1:4">
      <c r="A340" s="87" t="s">
        <v>352</v>
      </c>
      <c r="B340" s="88" t="s">
        <v>15</v>
      </c>
      <c r="C340" s="88">
        <v>103</v>
      </c>
      <c r="D340" s="89" t="str">
        <f t="shared" si="5"/>
        <v>Вт</v>
      </c>
    </row>
    <row r="341" spans="1:4">
      <c r="A341" s="87" t="s">
        <v>353</v>
      </c>
      <c r="B341" s="88" t="s">
        <v>17</v>
      </c>
      <c r="C341" s="88">
        <v>633</v>
      </c>
      <c r="D341" s="89" t="str">
        <f t="shared" si="5"/>
        <v>Вт</v>
      </c>
    </row>
    <row r="342" spans="1:4">
      <c r="A342" s="87" t="s">
        <v>354</v>
      </c>
      <c r="B342" s="88" t="s">
        <v>19</v>
      </c>
      <c r="C342" s="88">
        <v>541</v>
      </c>
      <c r="D342" s="89" t="str">
        <f t="shared" si="5"/>
        <v>Вт</v>
      </c>
    </row>
    <row r="343" spans="1:4">
      <c r="A343" s="87" t="s">
        <v>355</v>
      </c>
      <c r="B343" s="88" t="s">
        <v>21</v>
      </c>
      <c r="C343" s="88">
        <v>265</v>
      </c>
      <c r="D343" s="89" t="str">
        <f t="shared" si="5"/>
        <v>Вт</v>
      </c>
    </row>
    <row r="344" spans="1:4">
      <c r="A344" s="87" t="s">
        <v>356</v>
      </c>
      <c r="B344" s="88" t="s">
        <v>23</v>
      </c>
      <c r="C344" s="88">
        <v>17</v>
      </c>
      <c r="D344" s="89" t="str">
        <f t="shared" si="5"/>
        <v>Вт</v>
      </c>
    </row>
    <row r="345" spans="1:4">
      <c r="A345" s="87" t="s">
        <v>357</v>
      </c>
      <c r="B345" s="88" t="s">
        <v>5</v>
      </c>
      <c r="C345" s="88">
        <v>406</v>
      </c>
      <c r="D345" s="89" t="str">
        <f t="shared" si="5"/>
        <v>Вт</v>
      </c>
    </row>
    <row r="346" spans="1:4">
      <c r="A346" s="87" t="s">
        <v>358</v>
      </c>
      <c r="B346" s="88" t="s">
        <v>7</v>
      </c>
      <c r="C346" s="88">
        <v>476</v>
      </c>
      <c r="D346" s="89" t="str">
        <f t="shared" si="5"/>
        <v>Вт</v>
      </c>
    </row>
    <row r="347" spans="1:4">
      <c r="A347" s="87" t="s">
        <v>359</v>
      </c>
      <c r="B347" s="88" t="s">
        <v>9</v>
      </c>
      <c r="C347" s="88">
        <v>632</v>
      </c>
      <c r="D347" s="89" t="str">
        <f t="shared" si="5"/>
        <v>Вт</v>
      </c>
    </row>
    <row r="348" spans="1:4">
      <c r="A348" s="87" t="s">
        <v>360</v>
      </c>
      <c r="B348" s="88" t="s">
        <v>11</v>
      </c>
      <c r="C348" s="88">
        <v>192</v>
      </c>
      <c r="D348" s="89" t="str">
        <f t="shared" si="5"/>
        <v>Вт</v>
      </c>
    </row>
    <row r="349" spans="1:4">
      <c r="A349" s="87" t="s">
        <v>361</v>
      </c>
      <c r="B349" s="88" t="s">
        <v>13</v>
      </c>
      <c r="C349" s="88">
        <v>247</v>
      </c>
      <c r="D349" s="89" t="str">
        <f t="shared" si="5"/>
        <v>Вт</v>
      </c>
    </row>
    <row r="350" spans="1:4">
      <c r="A350" s="87" t="s">
        <v>362</v>
      </c>
      <c r="B350" s="88" t="s">
        <v>15</v>
      </c>
      <c r="C350" s="88">
        <v>638</v>
      </c>
      <c r="D350" s="89" t="str">
        <f t="shared" si="5"/>
        <v>Вт</v>
      </c>
    </row>
    <row r="351" spans="1:4">
      <c r="A351" s="87" t="s">
        <v>363</v>
      </c>
      <c r="B351" s="88" t="s">
        <v>17</v>
      </c>
      <c r="C351" s="88">
        <v>341</v>
      </c>
      <c r="D351" s="89" t="str">
        <f t="shared" si="5"/>
        <v>Вт</v>
      </c>
    </row>
    <row r="352" spans="1:4">
      <c r="A352" s="87" t="s">
        <v>364</v>
      </c>
      <c r="B352" s="88" t="s">
        <v>19</v>
      </c>
      <c r="C352" s="88">
        <v>109</v>
      </c>
      <c r="D352" s="89" t="str">
        <f t="shared" si="5"/>
        <v>Вт</v>
      </c>
    </row>
    <row r="353" spans="1:4">
      <c r="A353" s="87" t="s">
        <v>365</v>
      </c>
      <c r="B353" s="88" t="s">
        <v>21</v>
      </c>
      <c r="C353" s="88">
        <v>440</v>
      </c>
      <c r="D353" s="89" t="str">
        <f t="shared" si="5"/>
        <v>Вт</v>
      </c>
    </row>
    <row r="354" spans="1:4">
      <c r="A354" s="87" t="s">
        <v>366</v>
      </c>
      <c r="B354" s="88" t="s">
        <v>23</v>
      </c>
      <c r="C354" s="88">
        <v>544</v>
      </c>
      <c r="D354" s="89" t="str">
        <f t="shared" si="5"/>
        <v>Вт</v>
      </c>
    </row>
    <row r="355" spans="1:4">
      <c r="A355" s="87" t="s">
        <v>367</v>
      </c>
      <c r="B355" s="88" t="s">
        <v>5</v>
      </c>
      <c r="C355" s="88">
        <v>75</v>
      </c>
      <c r="D355" s="89" t="str">
        <f t="shared" si="5"/>
        <v>Вт</v>
      </c>
    </row>
    <row r="356" spans="1:4">
      <c r="A356" s="87" t="s">
        <v>368</v>
      </c>
      <c r="B356" s="88" t="s">
        <v>7</v>
      </c>
      <c r="C356" s="88">
        <v>227</v>
      </c>
      <c r="D356" s="89" t="str">
        <f t="shared" si="5"/>
        <v>Вт</v>
      </c>
    </row>
    <row r="357" spans="1:4">
      <c r="A357" s="87" t="s">
        <v>369</v>
      </c>
      <c r="B357" s="88" t="s">
        <v>9</v>
      </c>
      <c r="C357" s="88">
        <v>210</v>
      </c>
      <c r="D357" s="89" t="str">
        <f t="shared" si="5"/>
        <v>Вт</v>
      </c>
    </row>
    <row r="358" spans="1:4">
      <c r="A358" s="87" t="s">
        <v>370</v>
      </c>
      <c r="B358" s="88" t="s">
        <v>11</v>
      </c>
      <c r="C358" s="88">
        <v>277</v>
      </c>
      <c r="D358" s="89" t="str">
        <f t="shared" si="5"/>
        <v>Вт</v>
      </c>
    </row>
    <row r="359" spans="1:4">
      <c r="A359" s="87" t="s">
        <v>371</v>
      </c>
      <c r="B359" s="88" t="s">
        <v>13</v>
      </c>
      <c r="C359" s="88">
        <v>93</v>
      </c>
      <c r="D359" s="89" t="str">
        <f t="shared" si="5"/>
        <v>Вт</v>
      </c>
    </row>
    <row r="360" spans="1:4">
      <c r="A360" s="87" t="s">
        <v>372</v>
      </c>
      <c r="B360" s="88" t="s">
        <v>15</v>
      </c>
      <c r="C360" s="88">
        <v>626</v>
      </c>
      <c r="D360" s="89" t="str">
        <f t="shared" si="5"/>
        <v>Вт</v>
      </c>
    </row>
    <row r="361" spans="1:4">
      <c r="A361" s="87" t="s">
        <v>373</v>
      </c>
      <c r="B361" s="88" t="s">
        <v>17</v>
      </c>
      <c r="C361" s="88">
        <v>157</v>
      </c>
      <c r="D361" s="89" t="str">
        <f t="shared" si="5"/>
        <v>Вт</v>
      </c>
    </row>
    <row r="362" spans="1:4">
      <c r="A362" s="87" t="s">
        <v>374</v>
      </c>
      <c r="B362" s="88" t="s">
        <v>19</v>
      </c>
      <c r="C362" s="88">
        <v>104</v>
      </c>
      <c r="D362" s="89" t="str">
        <f t="shared" si="5"/>
        <v>Ср</v>
      </c>
    </row>
    <row r="363" spans="1:4">
      <c r="A363" s="87" t="s">
        <v>375</v>
      </c>
      <c r="B363" s="88" t="s">
        <v>21</v>
      </c>
      <c r="C363" s="88">
        <v>187</v>
      </c>
      <c r="D363" s="89" t="str">
        <f t="shared" si="5"/>
        <v>Ср</v>
      </c>
    </row>
    <row r="364" spans="1:4">
      <c r="A364" s="87" t="s">
        <v>376</v>
      </c>
      <c r="B364" s="88" t="s">
        <v>23</v>
      </c>
      <c r="C364" s="88">
        <v>217</v>
      </c>
      <c r="D364" s="89" t="str">
        <f t="shared" si="5"/>
        <v>Ср</v>
      </c>
    </row>
    <row r="365" spans="1:4">
      <c r="A365" s="87" t="s">
        <v>377</v>
      </c>
      <c r="B365" s="88" t="s">
        <v>5</v>
      </c>
      <c r="C365" s="88">
        <v>295</v>
      </c>
      <c r="D365" s="89" t="str">
        <f t="shared" si="5"/>
        <v>Ср</v>
      </c>
    </row>
    <row r="366" spans="1:4">
      <c r="A366" s="87" t="s">
        <v>378</v>
      </c>
      <c r="B366" s="88" t="s">
        <v>7</v>
      </c>
      <c r="C366" s="88">
        <v>641</v>
      </c>
      <c r="D366" s="89" t="str">
        <f t="shared" si="5"/>
        <v>Ср</v>
      </c>
    </row>
    <row r="367" spans="1:4">
      <c r="A367" s="87" t="s">
        <v>379</v>
      </c>
      <c r="B367" s="88" t="s">
        <v>9</v>
      </c>
      <c r="C367" s="88">
        <v>345</v>
      </c>
      <c r="D367" s="89" t="str">
        <f t="shared" si="5"/>
        <v>Ср</v>
      </c>
    </row>
    <row r="368" spans="1:4">
      <c r="A368" s="87" t="s">
        <v>380</v>
      </c>
      <c r="B368" s="88" t="s">
        <v>11</v>
      </c>
      <c r="C368" s="88">
        <v>478</v>
      </c>
      <c r="D368" s="89" t="str">
        <f t="shared" si="5"/>
        <v>Ср</v>
      </c>
    </row>
    <row r="369" spans="1:4">
      <c r="A369" s="87" t="s">
        <v>381</v>
      </c>
      <c r="B369" s="88" t="s">
        <v>13</v>
      </c>
      <c r="C369" s="88">
        <v>84</v>
      </c>
      <c r="D369" s="89" t="str">
        <f t="shared" si="5"/>
        <v>Ср</v>
      </c>
    </row>
    <row r="370" spans="1:4">
      <c r="A370" s="87" t="s">
        <v>382</v>
      </c>
      <c r="B370" s="88" t="s">
        <v>15</v>
      </c>
      <c r="C370" s="88">
        <v>377</v>
      </c>
      <c r="D370" s="89" t="str">
        <f t="shared" si="5"/>
        <v>Ср</v>
      </c>
    </row>
    <row r="371" spans="1:4">
      <c r="A371" s="87" t="s">
        <v>383</v>
      </c>
      <c r="B371" s="88" t="s">
        <v>17</v>
      </c>
      <c r="C371" s="88">
        <v>473</v>
      </c>
      <c r="D371" s="89" t="str">
        <f t="shared" si="5"/>
        <v>Ср</v>
      </c>
    </row>
    <row r="372" spans="1:4">
      <c r="A372" s="87" t="s">
        <v>384</v>
      </c>
      <c r="B372" s="88" t="s">
        <v>19</v>
      </c>
      <c r="C372" s="88">
        <v>105</v>
      </c>
      <c r="D372" s="89" t="str">
        <f t="shared" si="5"/>
        <v>Ср</v>
      </c>
    </row>
    <row r="373" spans="1:4">
      <c r="A373" s="87" t="s">
        <v>385</v>
      </c>
      <c r="B373" s="88" t="s">
        <v>21</v>
      </c>
      <c r="C373" s="88">
        <v>567</v>
      </c>
      <c r="D373" s="89" t="str">
        <f t="shared" si="5"/>
        <v>Ср</v>
      </c>
    </row>
    <row r="374" spans="1:4">
      <c r="A374" s="87" t="s">
        <v>386</v>
      </c>
      <c r="B374" s="88" t="s">
        <v>23</v>
      </c>
      <c r="C374" s="88">
        <v>437</v>
      </c>
      <c r="D374" s="89" t="str">
        <f t="shared" si="5"/>
        <v>Ср</v>
      </c>
    </row>
    <row r="375" spans="1:4">
      <c r="A375" s="87" t="s">
        <v>387</v>
      </c>
      <c r="B375" s="88" t="s">
        <v>5</v>
      </c>
      <c r="C375" s="88">
        <v>203</v>
      </c>
      <c r="D375" s="89" t="str">
        <f t="shared" si="5"/>
        <v>Ср</v>
      </c>
    </row>
    <row r="376" spans="1:4">
      <c r="A376" s="87" t="s">
        <v>388</v>
      </c>
      <c r="B376" s="88" t="s">
        <v>7</v>
      </c>
      <c r="C376" s="88">
        <v>67</v>
      </c>
      <c r="D376" s="89" t="str">
        <f t="shared" si="5"/>
        <v>Ср</v>
      </c>
    </row>
    <row r="377" spans="1:4">
      <c r="A377" s="87" t="s">
        <v>389</v>
      </c>
      <c r="B377" s="88" t="s">
        <v>9</v>
      </c>
      <c r="C377" s="88">
        <v>110</v>
      </c>
      <c r="D377" s="89" t="str">
        <f t="shared" si="5"/>
        <v>Ср</v>
      </c>
    </row>
    <row r="378" spans="1:4">
      <c r="A378" s="87" t="s">
        <v>390</v>
      </c>
      <c r="B378" s="88" t="s">
        <v>11</v>
      </c>
      <c r="C378" s="88">
        <v>100</v>
      </c>
      <c r="D378" s="89" t="str">
        <f t="shared" si="5"/>
        <v>Ср</v>
      </c>
    </row>
    <row r="379" spans="1:4">
      <c r="A379" s="87" t="s">
        <v>391</v>
      </c>
      <c r="B379" s="88" t="s">
        <v>13</v>
      </c>
      <c r="C379" s="88">
        <v>643</v>
      </c>
      <c r="D379" s="89" t="str">
        <f t="shared" si="5"/>
        <v>Ср</v>
      </c>
    </row>
    <row r="380" spans="1:4">
      <c r="A380" s="87" t="s">
        <v>392</v>
      </c>
      <c r="B380" s="88" t="s">
        <v>15</v>
      </c>
      <c r="C380" s="88">
        <v>542</v>
      </c>
      <c r="D380" s="89" t="str">
        <f t="shared" si="5"/>
        <v>Ср</v>
      </c>
    </row>
    <row r="381" spans="1:4">
      <c r="A381" s="87" t="s">
        <v>393</v>
      </c>
      <c r="B381" s="88" t="s">
        <v>17</v>
      </c>
      <c r="C381" s="88">
        <v>302</v>
      </c>
      <c r="D381" s="89" t="str">
        <f t="shared" si="5"/>
        <v>Ср</v>
      </c>
    </row>
    <row r="382" spans="1:4">
      <c r="A382" s="87" t="s">
        <v>394</v>
      </c>
      <c r="B382" s="88" t="s">
        <v>19</v>
      </c>
      <c r="C382" s="88">
        <v>59</v>
      </c>
      <c r="D382" s="89" t="str">
        <f t="shared" si="5"/>
        <v>Ср</v>
      </c>
    </row>
    <row r="383" spans="1:4">
      <c r="A383" s="87" t="s">
        <v>395</v>
      </c>
      <c r="B383" s="88" t="s">
        <v>21</v>
      </c>
      <c r="C383" s="88">
        <v>330</v>
      </c>
      <c r="D383" s="89" t="str">
        <f t="shared" si="5"/>
        <v>Ср</v>
      </c>
    </row>
    <row r="384" spans="1:4">
      <c r="A384" s="87" t="s">
        <v>396</v>
      </c>
      <c r="B384" s="88" t="s">
        <v>23</v>
      </c>
      <c r="C384" s="88">
        <v>614</v>
      </c>
      <c r="D384" s="89" t="str">
        <f t="shared" si="5"/>
        <v>Ср</v>
      </c>
    </row>
    <row r="385" spans="1:4">
      <c r="A385" s="87" t="s">
        <v>397</v>
      </c>
      <c r="B385" s="88" t="s">
        <v>5</v>
      </c>
      <c r="C385" s="88">
        <v>388</v>
      </c>
      <c r="D385" s="89" t="str">
        <f t="shared" si="5"/>
        <v>Ср</v>
      </c>
    </row>
    <row r="386" spans="1:4">
      <c r="A386" s="87" t="s">
        <v>398</v>
      </c>
      <c r="B386" s="88" t="s">
        <v>7</v>
      </c>
      <c r="C386" s="88">
        <v>160</v>
      </c>
      <c r="D386" s="89" t="str">
        <f t="shared" ref="D386:D449" si="6">CHOOSE(WEEKDAY(DATE(VALUE(LEFT(A386,4)),VALUE(MID(A386,6,2)),VALUE(MID(A386,9,2))),2),"Пн","Вт","Ср","Чт","Пт","Сб","Вс")</f>
        <v>Чт</v>
      </c>
    </row>
    <row r="387" spans="1:4">
      <c r="A387" s="87" t="s">
        <v>399</v>
      </c>
      <c r="B387" s="88" t="s">
        <v>9</v>
      </c>
      <c r="C387" s="88">
        <v>453</v>
      </c>
      <c r="D387" s="89" t="str">
        <f t="shared" si="6"/>
        <v>Чт</v>
      </c>
    </row>
    <row r="388" spans="1:4">
      <c r="A388" s="87" t="s">
        <v>400</v>
      </c>
      <c r="B388" s="88" t="s">
        <v>11</v>
      </c>
      <c r="C388" s="88">
        <v>644</v>
      </c>
      <c r="D388" s="89" t="str">
        <f t="shared" si="6"/>
        <v>Чт</v>
      </c>
    </row>
    <row r="389" spans="1:4">
      <c r="A389" s="87" t="s">
        <v>401</v>
      </c>
      <c r="B389" s="88" t="s">
        <v>13</v>
      </c>
      <c r="C389" s="88">
        <v>16</v>
      </c>
      <c r="D389" s="89" t="str">
        <f t="shared" si="6"/>
        <v>Чт</v>
      </c>
    </row>
    <row r="390" spans="1:4">
      <c r="A390" s="87" t="s">
        <v>402</v>
      </c>
      <c r="B390" s="88" t="s">
        <v>15</v>
      </c>
      <c r="C390" s="88">
        <v>602</v>
      </c>
      <c r="D390" s="89" t="str">
        <f t="shared" si="6"/>
        <v>Чт</v>
      </c>
    </row>
    <row r="391" spans="1:4">
      <c r="A391" s="87" t="s">
        <v>403</v>
      </c>
      <c r="B391" s="88" t="s">
        <v>17</v>
      </c>
      <c r="C391" s="88">
        <v>12</v>
      </c>
      <c r="D391" s="89" t="str">
        <f t="shared" si="6"/>
        <v>Чт</v>
      </c>
    </row>
    <row r="392" spans="1:4">
      <c r="A392" s="87" t="s">
        <v>404</v>
      </c>
      <c r="B392" s="88" t="s">
        <v>19</v>
      </c>
      <c r="C392" s="88">
        <v>604</v>
      </c>
      <c r="D392" s="89" t="str">
        <f t="shared" si="6"/>
        <v>Чт</v>
      </c>
    </row>
    <row r="393" spans="1:4">
      <c r="A393" s="87" t="s">
        <v>405</v>
      </c>
      <c r="B393" s="88" t="s">
        <v>21</v>
      </c>
      <c r="C393" s="88">
        <v>347</v>
      </c>
      <c r="D393" s="89" t="str">
        <f t="shared" si="6"/>
        <v>Чт</v>
      </c>
    </row>
    <row r="394" spans="1:4">
      <c r="A394" s="87" t="s">
        <v>406</v>
      </c>
      <c r="B394" s="88" t="s">
        <v>23</v>
      </c>
      <c r="C394" s="88">
        <v>117</v>
      </c>
      <c r="D394" s="89" t="str">
        <f t="shared" si="6"/>
        <v>Чт</v>
      </c>
    </row>
    <row r="395" spans="1:4">
      <c r="A395" s="87" t="s">
        <v>407</v>
      </c>
      <c r="B395" s="88" t="s">
        <v>5</v>
      </c>
      <c r="C395" s="88">
        <v>532</v>
      </c>
      <c r="D395" s="89" t="str">
        <f t="shared" si="6"/>
        <v>Чт</v>
      </c>
    </row>
    <row r="396" spans="1:4">
      <c r="A396" s="87" t="s">
        <v>408</v>
      </c>
      <c r="B396" s="88" t="s">
        <v>7</v>
      </c>
      <c r="C396" s="88">
        <v>481</v>
      </c>
      <c r="D396" s="89" t="str">
        <f t="shared" si="6"/>
        <v>Чт</v>
      </c>
    </row>
    <row r="397" spans="1:4">
      <c r="A397" s="87" t="s">
        <v>409</v>
      </c>
      <c r="B397" s="88" t="s">
        <v>9</v>
      </c>
      <c r="C397" s="88">
        <v>116</v>
      </c>
      <c r="D397" s="89" t="str">
        <f t="shared" si="6"/>
        <v>Чт</v>
      </c>
    </row>
    <row r="398" spans="1:4">
      <c r="A398" s="87" t="s">
        <v>410</v>
      </c>
      <c r="B398" s="88" t="s">
        <v>11</v>
      </c>
      <c r="C398" s="88">
        <v>379</v>
      </c>
      <c r="D398" s="89" t="str">
        <f t="shared" si="6"/>
        <v>Чт</v>
      </c>
    </row>
    <row r="399" spans="1:4">
      <c r="A399" s="87" t="s">
        <v>411</v>
      </c>
      <c r="B399" s="88" t="s">
        <v>13</v>
      </c>
      <c r="C399" s="88">
        <v>522</v>
      </c>
      <c r="D399" s="89" t="str">
        <f t="shared" si="6"/>
        <v>Чт</v>
      </c>
    </row>
    <row r="400" spans="1:4">
      <c r="A400" s="87" t="s">
        <v>412</v>
      </c>
      <c r="B400" s="88" t="s">
        <v>15</v>
      </c>
      <c r="C400" s="88">
        <v>301</v>
      </c>
      <c r="D400" s="89" t="str">
        <f t="shared" si="6"/>
        <v>Чт</v>
      </c>
    </row>
    <row r="401" spans="1:4">
      <c r="A401" s="87" t="s">
        <v>413</v>
      </c>
      <c r="B401" s="88" t="s">
        <v>17</v>
      </c>
      <c r="C401" s="88">
        <v>451</v>
      </c>
      <c r="D401" s="89" t="str">
        <f t="shared" si="6"/>
        <v>Чт</v>
      </c>
    </row>
    <row r="402" spans="1:4">
      <c r="A402" s="87" t="s">
        <v>414</v>
      </c>
      <c r="B402" s="88" t="s">
        <v>19</v>
      </c>
      <c r="C402" s="88">
        <v>576</v>
      </c>
      <c r="D402" s="89" t="str">
        <f t="shared" si="6"/>
        <v>Чт</v>
      </c>
    </row>
    <row r="403" spans="1:4">
      <c r="A403" s="87" t="s">
        <v>415</v>
      </c>
      <c r="B403" s="88" t="s">
        <v>21</v>
      </c>
      <c r="C403" s="88">
        <v>113</v>
      </c>
      <c r="D403" s="89" t="str">
        <f t="shared" si="6"/>
        <v>Чт</v>
      </c>
    </row>
    <row r="404" spans="1:4">
      <c r="A404" s="87" t="s">
        <v>416</v>
      </c>
      <c r="B404" s="88" t="s">
        <v>23</v>
      </c>
      <c r="C404" s="88">
        <v>314</v>
      </c>
      <c r="D404" s="89" t="str">
        <f t="shared" si="6"/>
        <v>Чт</v>
      </c>
    </row>
    <row r="405" spans="1:4">
      <c r="A405" s="87" t="s">
        <v>417</v>
      </c>
      <c r="B405" s="88" t="s">
        <v>5</v>
      </c>
      <c r="C405" s="88">
        <v>264</v>
      </c>
      <c r="D405" s="89" t="str">
        <f t="shared" si="6"/>
        <v>Чт</v>
      </c>
    </row>
    <row r="406" spans="1:4">
      <c r="A406" s="87" t="s">
        <v>418</v>
      </c>
      <c r="B406" s="88" t="s">
        <v>7</v>
      </c>
      <c r="C406" s="88">
        <v>152</v>
      </c>
      <c r="D406" s="89" t="str">
        <f t="shared" si="6"/>
        <v>Чт</v>
      </c>
    </row>
    <row r="407" spans="1:4">
      <c r="A407" s="87" t="s">
        <v>419</v>
      </c>
      <c r="B407" s="88" t="s">
        <v>9</v>
      </c>
      <c r="C407" s="88">
        <v>592</v>
      </c>
      <c r="D407" s="89" t="str">
        <f t="shared" si="6"/>
        <v>Чт</v>
      </c>
    </row>
    <row r="408" spans="1:4">
      <c r="A408" s="87" t="s">
        <v>420</v>
      </c>
      <c r="B408" s="88" t="s">
        <v>11</v>
      </c>
      <c r="C408" s="88">
        <v>609</v>
      </c>
      <c r="D408" s="89" t="str">
        <f t="shared" si="6"/>
        <v>Чт</v>
      </c>
    </row>
    <row r="409" spans="1:4">
      <c r="A409" s="87" t="s">
        <v>421</v>
      </c>
      <c r="B409" s="88" t="s">
        <v>13</v>
      </c>
      <c r="C409" s="88">
        <v>449</v>
      </c>
      <c r="D409" s="89" t="str">
        <f t="shared" si="6"/>
        <v>Чт</v>
      </c>
    </row>
    <row r="410" spans="1:4">
      <c r="A410" s="87" t="s">
        <v>422</v>
      </c>
      <c r="B410" s="88" t="s">
        <v>15</v>
      </c>
      <c r="C410" s="88">
        <v>72</v>
      </c>
      <c r="D410" s="89" t="str">
        <f t="shared" si="6"/>
        <v>Пт</v>
      </c>
    </row>
    <row r="411" spans="1:4">
      <c r="A411" s="87" t="s">
        <v>423</v>
      </c>
      <c r="B411" s="88" t="s">
        <v>17</v>
      </c>
      <c r="C411" s="88">
        <v>488</v>
      </c>
      <c r="D411" s="89" t="str">
        <f t="shared" si="6"/>
        <v>Пт</v>
      </c>
    </row>
    <row r="412" spans="1:4">
      <c r="A412" s="87" t="s">
        <v>424</v>
      </c>
      <c r="B412" s="88" t="s">
        <v>19</v>
      </c>
      <c r="C412" s="88">
        <v>180</v>
      </c>
      <c r="D412" s="89" t="str">
        <f t="shared" si="6"/>
        <v>Пт</v>
      </c>
    </row>
    <row r="413" spans="1:4">
      <c r="A413" s="87" t="s">
        <v>425</v>
      </c>
      <c r="B413" s="88" t="s">
        <v>21</v>
      </c>
      <c r="C413" s="88">
        <v>321</v>
      </c>
      <c r="D413" s="89" t="str">
        <f t="shared" si="6"/>
        <v>Пт</v>
      </c>
    </row>
    <row r="414" spans="1:4">
      <c r="A414" s="87" t="s">
        <v>426</v>
      </c>
      <c r="B414" s="88" t="s">
        <v>23</v>
      </c>
      <c r="C414" s="88">
        <v>194</v>
      </c>
      <c r="D414" s="89" t="str">
        <f t="shared" si="6"/>
        <v>Пт</v>
      </c>
    </row>
    <row r="415" spans="1:4">
      <c r="A415" s="87" t="s">
        <v>427</v>
      </c>
      <c r="B415" s="88" t="s">
        <v>5</v>
      </c>
      <c r="C415" s="88">
        <v>456</v>
      </c>
      <c r="D415" s="89" t="str">
        <f t="shared" si="6"/>
        <v>Пт</v>
      </c>
    </row>
    <row r="416" spans="1:4">
      <c r="A416" s="87" t="s">
        <v>428</v>
      </c>
      <c r="B416" s="88" t="s">
        <v>7</v>
      </c>
      <c r="C416" s="88">
        <v>99</v>
      </c>
      <c r="D416" s="89" t="str">
        <f t="shared" si="6"/>
        <v>Пт</v>
      </c>
    </row>
    <row r="417" spans="1:4">
      <c r="A417" s="87" t="s">
        <v>429</v>
      </c>
      <c r="B417" s="88" t="s">
        <v>9</v>
      </c>
      <c r="C417" s="88">
        <v>487</v>
      </c>
      <c r="D417" s="89" t="str">
        <f t="shared" si="6"/>
        <v>Пт</v>
      </c>
    </row>
    <row r="418" spans="1:4">
      <c r="A418" s="87" t="s">
        <v>430</v>
      </c>
      <c r="B418" s="88" t="s">
        <v>11</v>
      </c>
      <c r="C418" s="88">
        <v>562</v>
      </c>
      <c r="D418" s="89" t="str">
        <f t="shared" si="6"/>
        <v>Пт</v>
      </c>
    </row>
    <row r="419" spans="1:4">
      <c r="A419" s="87" t="s">
        <v>431</v>
      </c>
      <c r="B419" s="88" t="s">
        <v>13</v>
      </c>
      <c r="C419" s="88">
        <v>137</v>
      </c>
      <c r="D419" s="89" t="str">
        <f t="shared" si="6"/>
        <v>Пт</v>
      </c>
    </row>
    <row r="420" spans="1:4">
      <c r="A420" s="87" t="s">
        <v>432</v>
      </c>
      <c r="B420" s="88" t="s">
        <v>15</v>
      </c>
      <c r="C420" s="88">
        <v>228</v>
      </c>
      <c r="D420" s="89" t="str">
        <f t="shared" si="6"/>
        <v>Пт</v>
      </c>
    </row>
    <row r="421" spans="1:4">
      <c r="A421" s="87" t="s">
        <v>433</v>
      </c>
      <c r="B421" s="88" t="s">
        <v>17</v>
      </c>
      <c r="C421" s="88">
        <v>243</v>
      </c>
      <c r="D421" s="89" t="str">
        <f t="shared" si="6"/>
        <v>Пт</v>
      </c>
    </row>
    <row r="422" spans="1:4">
      <c r="A422" s="87" t="s">
        <v>434</v>
      </c>
      <c r="B422" s="88" t="s">
        <v>19</v>
      </c>
      <c r="C422" s="88">
        <v>340</v>
      </c>
      <c r="D422" s="89" t="str">
        <f t="shared" si="6"/>
        <v>Пт</v>
      </c>
    </row>
    <row r="423" spans="1:4">
      <c r="A423" s="87" t="s">
        <v>435</v>
      </c>
      <c r="B423" s="88" t="s">
        <v>21</v>
      </c>
      <c r="C423" s="88">
        <v>198</v>
      </c>
      <c r="D423" s="89" t="str">
        <f t="shared" si="6"/>
        <v>Пт</v>
      </c>
    </row>
    <row r="424" spans="1:4">
      <c r="A424" s="87" t="s">
        <v>436</v>
      </c>
      <c r="B424" s="88" t="s">
        <v>23</v>
      </c>
      <c r="C424" s="88">
        <v>579</v>
      </c>
      <c r="D424" s="89" t="str">
        <f t="shared" si="6"/>
        <v>Пт</v>
      </c>
    </row>
    <row r="425" spans="1:4">
      <c r="A425" s="87" t="s">
        <v>437</v>
      </c>
      <c r="B425" s="88" t="s">
        <v>5</v>
      </c>
      <c r="C425" s="88">
        <v>225</v>
      </c>
      <c r="D425" s="89" t="str">
        <f t="shared" si="6"/>
        <v>Пт</v>
      </c>
    </row>
    <row r="426" spans="1:4">
      <c r="A426" s="87" t="s">
        <v>438</v>
      </c>
      <c r="B426" s="88" t="s">
        <v>7</v>
      </c>
      <c r="C426" s="88">
        <v>206</v>
      </c>
      <c r="D426" s="89" t="str">
        <f t="shared" si="6"/>
        <v>Пт</v>
      </c>
    </row>
    <row r="427" spans="1:4">
      <c r="A427" s="87" t="s">
        <v>439</v>
      </c>
      <c r="B427" s="88" t="s">
        <v>9</v>
      </c>
      <c r="C427" s="88">
        <v>34</v>
      </c>
      <c r="D427" s="89" t="str">
        <f t="shared" si="6"/>
        <v>Пт</v>
      </c>
    </row>
    <row r="428" spans="1:4">
      <c r="A428" s="87" t="s">
        <v>440</v>
      </c>
      <c r="B428" s="88" t="s">
        <v>11</v>
      </c>
      <c r="C428" s="88">
        <v>565</v>
      </c>
      <c r="D428" s="89" t="str">
        <f t="shared" si="6"/>
        <v>Пт</v>
      </c>
    </row>
    <row r="429" spans="1:4">
      <c r="A429" s="87" t="s">
        <v>441</v>
      </c>
      <c r="B429" s="88" t="s">
        <v>13</v>
      </c>
      <c r="C429" s="88">
        <v>123</v>
      </c>
      <c r="D429" s="89" t="str">
        <f t="shared" si="6"/>
        <v>Пт</v>
      </c>
    </row>
    <row r="430" spans="1:4">
      <c r="A430" s="87" t="s">
        <v>442</v>
      </c>
      <c r="B430" s="88" t="s">
        <v>15</v>
      </c>
      <c r="C430" s="88">
        <v>268</v>
      </c>
      <c r="D430" s="89" t="str">
        <f t="shared" si="6"/>
        <v>Пт</v>
      </c>
    </row>
    <row r="431" spans="1:4">
      <c r="A431" s="87" t="s">
        <v>443</v>
      </c>
      <c r="B431" s="88" t="s">
        <v>17</v>
      </c>
      <c r="C431" s="88">
        <v>259</v>
      </c>
      <c r="D431" s="89" t="str">
        <f t="shared" si="6"/>
        <v>Пт</v>
      </c>
    </row>
    <row r="432" spans="1:4">
      <c r="A432" s="87" t="s">
        <v>444</v>
      </c>
      <c r="B432" s="88" t="s">
        <v>19</v>
      </c>
      <c r="C432" s="88">
        <v>363</v>
      </c>
      <c r="D432" s="89" t="str">
        <f t="shared" si="6"/>
        <v>Пт</v>
      </c>
    </row>
    <row r="433" ht="15.15" spans="1:4">
      <c r="A433" s="90" t="s">
        <v>445</v>
      </c>
      <c r="B433" s="91" t="s">
        <v>21</v>
      </c>
      <c r="C433" s="91">
        <v>486</v>
      </c>
      <c r="D433" s="92" t="str">
        <f t="shared" si="6"/>
        <v>Пт</v>
      </c>
    </row>
    <row r="434" hidden="1" spans="1:4">
      <c r="A434" s="118" t="s">
        <v>446</v>
      </c>
      <c r="B434" s="119" t="s">
        <v>23</v>
      </c>
      <c r="C434" s="119">
        <v>51</v>
      </c>
      <c r="D434" s="120" t="str">
        <f t="shared" si="6"/>
        <v>Сб</v>
      </c>
    </row>
    <row r="435" hidden="1" spans="1:4">
      <c r="A435" s="121" t="s">
        <v>447</v>
      </c>
      <c r="B435" s="88" t="s">
        <v>5</v>
      </c>
      <c r="C435" s="88">
        <v>176</v>
      </c>
      <c r="D435" s="115" t="str">
        <f t="shared" si="6"/>
        <v>Сб</v>
      </c>
    </row>
    <row r="436" hidden="1" spans="1:4">
      <c r="A436" s="121" t="s">
        <v>448</v>
      </c>
      <c r="B436" s="88" t="s">
        <v>7</v>
      </c>
      <c r="C436" s="88">
        <v>171</v>
      </c>
      <c r="D436" s="115" t="str">
        <f t="shared" si="6"/>
        <v>Сб</v>
      </c>
    </row>
    <row r="437" hidden="1" spans="1:4">
      <c r="A437" s="121" t="s">
        <v>449</v>
      </c>
      <c r="B437" s="88" t="s">
        <v>9</v>
      </c>
      <c r="C437" s="88">
        <v>366</v>
      </c>
      <c r="D437" s="115" t="str">
        <f t="shared" si="6"/>
        <v>Сб</v>
      </c>
    </row>
    <row r="438" hidden="1" spans="1:4">
      <c r="A438" s="121" t="s">
        <v>450</v>
      </c>
      <c r="B438" s="88" t="s">
        <v>11</v>
      </c>
      <c r="C438" s="88">
        <v>159</v>
      </c>
      <c r="D438" s="115" t="str">
        <f t="shared" si="6"/>
        <v>Сб</v>
      </c>
    </row>
    <row r="439" hidden="1" spans="1:4">
      <c r="A439" s="121" t="s">
        <v>451</v>
      </c>
      <c r="B439" s="88" t="s">
        <v>13</v>
      </c>
      <c r="C439" s="88">
        <v>250</v>
      </c>
      <c r="D439" s="115" t="str">
        <f t="shared" si="6"/>
        <v>Сб</v>
      </c>
    </row>
    <row r="440" hidden="1" spans="1:4">
      <c r="A440" s="121" t="s">
        <v>452</v>
      </c>
      <c r="B440" s="88" t="s">
        <v>15</v>
      </c>
      <c r="C440" s="88">
        <v>507</v>
      </c>
      <c r="D440" s="115" t="str">
        <f t="shared" si="6"/>
        <v>Сб</v>
      </c>
    </row>
    <row r="441" hidden="1" spans="1:4">
      <c r="A441" s="121" t="s">
        <v>453</v>
      </c>
      <c r="B441" s="88" t="s">
        <v>17</v>
      </c>
      <c r="C441" s="88">
        <v>142</v>
      </c>
      <c r="D441" s="115" t="str">
        <f t="shared" si="6"/>
        <v>Сб</v>
      </c>
    </row>
    <row r="442" hidden="1" spans="1:4">
      <c r="A442" s="121" t="s">
        <v>454</v>
      </c>
      <c r="B442" s="88" t="s">
        <v>19</v>
      </c>
      <c r="C442" s="88">
        <v>412</v>
      </c>
      <c r="D442" s="115" t="str">
        <f t="shared" si="6"/>
        <v>Сб</v>
      </c>
    </row>
    <row r="443" hidden="1" spans="1:4">
      <c r="A443" s="121" t="s">
        <v>455</v>
      </c>
      <c r="B443" s="88" t="s">
        <v>21</v>
      </c>
      <c r="C443" s="88">
        <v>505</v>
      </c>
      <c r="D443" s="115" t="str">
        <f t="shared" si="6"/>
        <v>Сб</v>
      </c>
    </row>
    <row r="444" hidden="1" spans="1:4">
      <c r="A444" s="121" t="s">
        <v>456</v>
      </c>
      <c r="B444" s="88" t="s">
        <v>23</v>
      </c>
      <c r="C444" s="88">
        <v>130</v>
      </c>
      <c r="D444" s="115" t="str">
        <f t="shared" si="6"/>
        <v>Сб</v>
      </c>
    </row>
    <row r="445" hidden="1" spans="1:4">
      <c r="A445" s="121" t="s">
        <v>457</v>
      </c>
      <c r="B445" s="88" t="s">
        <v>5</v>
      </c>
      <c r="C445" s="88">
        <v>393</v>
      </c>
      <c r="D445" s="115" t="str">
        <f t="shared" si="6"/>
        <v>Сб</v>
      </c>
    </row>
    <row r="446" hidden="1" spans="1:4">
      <c r="A446" s="121" t="s">
        <v>458</v>
      </c>
      <c r="B446" s="88" t="s">
        <v>7</v>
      </c>
      <c r="C446" s="88">
        <v>613</v>
      </c>
      <c r="D446" s="115" t="str">
        <f t="shared" si="6"/>
        <v>Сб</v>
      </c>
    </row>
    <row r="447" hidden="1" spans="1:4">
      <c r="A447" s="121" t="s">
        <v>459</v>
      </c>
      <c r="B447" s="88" t="s">
        <v>9</v>
      </c>
      <c r="C447" s="88">
        <v>214</v>
      </c>
      <c r="D447" s="115" t="str">
        <f t="shared" si="6"/>
        <v>Сб</v>
      </c>
    </row>
    <row r="448" hidden="1" spans="1:4">
      <c r="A448" s="121" t="s">
        <v>460</v>
      </c>
      <c r="B448" s="88" t="s">
        <v>11</v>
      </c>
      <c r="C448" s="88">
        <v>205</v>
      </c>
      <c r="D448" s="115" t="str">
        <f t="shared" si="6"/>
        <v>Сб</v>
      </c>
    </row>
    <row r="449" hidden="1" spans="1:4">
      <c r="A449" s="121" t="s">
        <v>461</v>
      </c>
      <c r="B449" s="88" t="s">
        <v>13</v>
      </c>
      <c r="C449" s="88">
        <v>3</v>
      </c>
      <c r="D449" s="115" t="str">
        <f t="shared" si="6"/>
        <v>Сб</v>
      </c>
    </row>
    <row r="450" hidden="1" spans="1:4">
      <c r="A450" s="121" t="s">
        <v>462</v>
      </c>
      <c r="B450" s="88" t="s">
        <v>15</v>
      </c>
      <c r="C450" s="88">
        <v>528</v>
      </c>
      <c r="D450" s="115" t="str">
        <f t="shared" ref="D450:D513" si="7">CHOOSE(WEEKDAY(DATE(VALUE(LEFT(A450,4)),VALUE(MID(A450,6,2)),VALUE(MID(A450,9,2))),2),"Пн","Вт","Ср","Чт","Пт","Сб","Вс")</f>
        <v>Сб</v>
      </c>
    </row>
    <row r="451" hidden="1" spans="1:4">
      <c r="A451" s="121" t="s">
        <v>463</v>
      </c>
      <c r="B451" s="88" t="s">
        <v>17</v>
      </c>
      <c r="C451" s="88">
        <v>161</v>
      </c>
      <c r="D451" s="115" t="str">
        <f t="shared" si="7"/>
        <v>Сб</v>
      </c>
    </row>
    <row r="452" hidden="1" spans="1:4">
      <c r="A452" s="121" t="s">
        <v>464</v>
      </c>
      <c r="B452" s="88" t="s">
        <v>19</v>
      </c>
      <c r="C452" s="88">
        <v>125</v>
      </c>
      <c r="D452" s="115" t="str">
        <f t="shared" si="7"/>
        <v>Сб</v>
      </c>
    </row>
    <row r="453" hidden="1" spans="1:4">
      <c r="A453" s="121" t="s">
        <v>465</v>
      </c>
      <c r="B453" s="88" t="s">
        <v>21</v>
      </c>
      <c r="C453" s="88">
        <v>220</v>
      </c>
      <c r="D453" s="115" t="str">
        <f t="shared" si="7"/>
        <v>Сб</v>
      </c>
    </row>
    <row r="454" hidden="1" spans="1:4">
      <c r="A454" s="121" t="s">
        <v>466</v>
      </c>
      <c r="B454" s="88" t="s">
        <v>23</v>
      </c>
      <c r="C454" s="88">
        <v>362</v>
      </c>
      <c r="D454" s="115" t="str">
        <f t="shared" si="7"/>
        <v>Сб</v>
      </c>
    </row>
    <row r="455" hidden="1" spans="1:4">
      <c r="A455" s="121" t="s">
        <v>467</v>
      </c>
      <c r="B455" s="88" t="s">
        <v>5</v>
      </c>
      <c r="C455" s="88">
        <v>570</v>
      </c>
      <c r="D455" s="115" t="str">
        <f t="shared" si="7"/>
        <v>Сб</v>
      </c>
    </row>
    <row r="456" hidden="1" spans="1:4">
      <c r="A456" s="121" t="s">
        <v>468</v>
      </c>
      <c r="B456" s="88" t="s">
        <v>7</v>
      </c>
      <c r="C456" s="88">
        <v>285</v>
      </c>
      <c r="D456" s="115" t="str">
        <f t="shared" si="7"/>
        <v>Сб</v>
      </c>
    </row>
    <row r="457" hidden="1" spans="1:4">
      <c r="A457" s="121" t="s">
        <v>469</v>
      </c>
      <c r="B457" s="88" t="s">
        <v>9</v>
      </c>
      <c r="C457" s="88">
        <v>595</v>
      </c>
      <c r="D457" s="115" t="str">
        <f t="shared" si="7"/>
        <v>Сб</v>
      </c>
    </row>
    <row r="458" hidden="1" spans="1:4">
      <c r="A458" s="121" t="s">
        <v>470</v>
      </c>
      <c r="B458" s="88" t="s">
        <v>11</v>
      </c>
      <c r="C458" s="88">
        <v>606</v>
      </c>
      <c r="D458" s="115" t="str">
        <f t="shared" si="7"/>
        <v>Вс</v>
      </c>
    </row>
    <row r="459" hidden="1" spans="1:4">
      <c r="A459" s="121" t="s">
        <v>471</v>
      </c>
      <c r="B459" s="88" t="s">
        <v>13</v>
      </c>
      <c r="C459" s="88">
        <v>348</v>
      </c>
      <c r="D459" s="115" t="str">
        <f t="shared" si="7"/>
        <v>Вс</v>
      </c>
    </row>
    <row r="460" hidden="1" spans="1:4">
      <c r="A460" s="121" t="s">
        <v>472</v>
      </c>
      <c r="B460" s="88" t="s">
        <v>15</v>
      </c>
      <c r="C460" s="88">
        <v>404</v>
      </c>
      <c r="D460" s="115" t="str">
        <f t="shared" si="7"/>
        <v>Вс</v>
      </c>
    </row>
    <row r="461" hidden="1" spans="1:4">
      <c r="A461" s="121" t="s">
        <v>473</v>
      </c>
      <c r="B461" s="88" t="s">
        <v>17</v>
      </c>
      <c r="C461" s="88">
        <v>519</v>
      </c>
      <c r="D461" s="115" t="str">
        <f t="shared" si="7"/>
        <v>Вс</v>
      </c>
    </row>
    <row r="462" hidden="1" spans="1:4">
      <c r="A462" s="121" t="s">
        <v>474</v>
      </c>
      <c r="B462" s="88" t="s">
        <v>19</v>
      </c>
      <c r="C462" s="88">
        <v>204</v>
      </c>
      <c r="D462" s="115" t="str">
        <f t="shared" si="7"/>
        <v>Вс</v>
      </c>
    </row>
    <row r="463" hidden="1" spans="1:4">
      <c r="A463" s="121" t="s">
        <v>475</v>
      </c>
      <c r="B463" s="88" t="s">
        <v>21</v>
      </c>
      <c r="C463" s="88">
        <v>45</v>
      </c>
      <c r="D463" s="115" t="str">
        <f t="shared" si="7"/>
        <v>Вс</v>
      </c>
    </row>
    <row r="464" hidden="1" spans="1:4">
      <c r="A464" s="121" t="s">
        <v>476</v>
      </c>
      <c r="B464" s="88" t="s">
        <v>23</v>
      </c>
      <c r="C464" s="88">
        <v>630</v>
      </c>
      <c r="D464" s="115" t="str">
        <f t="shared" si="7"/>
        <v>Вс</v>
      </c>
    </row>
    <row r="465" hidden="1" spans="1:4">
      <c r="A465" s="121" t="s">
        <v>477</v>
      </c>
      <c r="B465" s="88" t="s">
        <v>5</v>
      </c>
      <c r="C465" s="88">
        <v>376</v>
      </c>
      <c r="D465" s="115" t="str">
        <f t="shared" si="7"/>
        <v>Вс</v>
      </c>
    </row>
    <row r="466" hidden="1" spans="1:4">
      <c r="A466" s="121" t="s">
        <v>478</v>
      </c>
      <c r="B466" s="88" t="s">
        <v>7</v>
      </c>
      <c r="C466" s="88">
        <v>143</v>
      </c>
      <c r="D466" s="115" t="str">
        <f t="shared" si="7"/>
        <v>Вс</v>
      </c>
    </row>
    <row r="467" hidden="1" spans="1:4">
      <c r="A467" s="121" t="s">
        <v>479</v>
      </c>
      <c r="B467" s="88" t="s">
        <v>9</v>
      </c>
      <c r="C467" s="88">
        <v>36</v>
      </c>
      <c r="D467" s="115" t="str">
        <f t="shared" si="7"/>
        <v>Вс</v>
      </c>
    </row>
    <row r="468" hidden="1" spans="1:4">
      <c r="A468" s="121" t="s">
        <v>480</v>
      </c>
      <c r="B468" s="88" t="s">
        <v>11</v>
      </c>
      <c r="C468" s="88">
        <v>289</v>
      </c>
      <c r="D468" s="115" t="str">
        <f t="shared" si="7"/>
        <v>Вс</v>
      </c>
    </row>
    <row r="469" hidden="1" spans="1:4">
      <c r="A469" s="121" t="s">
        <v>481</v>
      </c>
      <c r="B469" s="88" t="s">
        <v>13</v>
      </c>
      <c r="C469" s="88">
        <v>405</v>
      </c>
      <c r="D469" s="115" t="str">
        <f t="shared" si="7"/>
        <v>Вс</v>
      </c>
    </row>
    <row r="470" hidden="1" spans="1:4">
      <c r="A470" s="121" t="s">
        <v>482</v>
      </c>
      <c r="B470" s="88" t="s">
        <v>15</v>
      </c>
      <c r="C470" s="88">
        <v>244</v>
      </c>
      <c r="D470" s="115" t="str">
        <f t="shared" si="7"/>
        <v>Вс</v>
      </c>
    </row>
    <row r="471" hidden="1" spans="1:4">
      <c r="A471" s="121" t="s">
        <v>483</v>
      </c>
      <c r="B471" s="88" t="s">
        <v>17</v>
      </c>
      <c r="C471" s="88">
        <v>601</v>
      </c>
      <c r="D471" s="115" t="str">
        <f t="shared" si="7"/>
        <v>Вс</v>
      </c>
    </row>
    <row r="472" hidden="1" spans="1:4">
      <c r="A472" s="121" t="s">
        <v>484</v>
      </c>
      <c r="B472" s="88" t="s">
        <v>19</v>
      </c>
      <c r="C472" s="88">
        <v>122</v>
      </c>
      <c r="D472" s="115" t="str">
        <f t="shared" si="7"/>
        <v>Вс</v>
      </c>
    </row>
    <row r="473" hidden="1" spans="1:4">
      <c r="A473" s="121" t="s">
        <v>485</v>
      </c>
      <c r="B473" s="88" t="s">
        <v>21</v>
      </c>
      <c r="C473" s="88">
        <v>7</v>
      </c>
      <c r="D473" s="115" t="str">
        <f t="shared" si="7"/>
        <v>Вс</v>
      </c>
    </row>
    <row r="474" hidden="1" spans="1:4">
      <c r="A474" s="121" t="s">
        <v>486</v>
      </c>
      <c r="B474" s="88" t="s">
        <v>23</v>
      </c>
      <c r="C474" s="88">
        <v>282</v>
      </c>
      <c r="D474" s="115" t="str">
        <f t="shared" si="7"/>
        <v>Вс</v>
      </c>
    </row>
    <row r="475" hidden="1" spans="1:4">
      <c r="A475" s="121" t="s">
        <v>487</v>
      </c>
      <c r="B475" s="88" t="s">
        <v>5</v>
      </c>
      <c r="C475" s="88">
        <v>591</v>
      </c>
      <c r="D475" s="115" t="str">
        <f t="shared" si="7"/>
        <v>Вс</v>
      </c>
    </row>
    <row r="476" hidden="1" spans="1:4">
      <c r="A476" s="121" t="s">
        <v>488</v>
      </c>
      <c r="B476" s="88" t="s">
        <v>7</v>
      </c>
      <c r="C476" s="88">
        <v>254</v>
      </c>
      <c r="D476" s="115" t="str">
        <f t="shared" si="7"/>
        <v>Вс</v>
      </c>
    </row>
    <row r="477" hidden="1" spans="1:4">
      <c r="A477" s="121" t="s">
        <v>489</v>
      </c>
      <c r="B477" s="88" t="s">
        <v>9</v>
      </c>
      <c r="C477" s="88">
        <v>236</v>
      </c>
      <c r="D477" s="115" t="str">
        <f t="shared" si="7"/>
        <v>Вс</v>
      </c>
    </row>
    <row r="478" hidden="1" spans="1:4">
      <c r="A478" s="121" t="s">
        <v>490</v>
      </c>
      <c r="B478" s="88" t="s">
        <v>11</v>
      </c>
      <c r="C478" s="88">
        <v>249</v>
      </c>
      <c r="D478" s="115" t="str">
        <f t="shared" si="7"/>
        <v>Вс</v>
      </c>
    </row>
    <row r="479" hidden="1" spans="1:4">
      <c r="A479" s="121" t="s">
        <v>491</v>
      </c>
      <c r="B479" s="88" t="s">
        <v>13</v>
      </c>
      <c r="C479" s="88">
        <v>163</v>
      </c>
      <c r="D479" s="115" t="str">
        <f t="shared" si="7"/>
        <v>Вс</v>
      </c>
    </row>
    <row r="480" hidden="1" spans="1:4">
      <c r="A480" s="121" t="s">
        <v>492</v>
      </c>
      <c r="B480" s="88" t="s">
        <v>15</v>
      </c>
      <c r="C480" s="88">
        <v>189</v>
      </c>
      <c r="D480" s="115" t="str">
        <f t="shared" si="7"/>
        <v>Вс</v>
      </c>
    </row>
    <row r="481" ht="15.15" hidden="1" spans="1:4">
      <c r="A481" s="122" t="s">
        <v>493</v>
      </c>
      <c r="B481" s="123" t="s">
        <v>17</v>
      </c>
      <c r="C481" s="123">
        <v>94</v>
      </c>
      <c r="D481" s="124" t="str">
        <f t="shared" si="7"/>
        <v>Вс</v>
      </c>
    </row>
    <row r="482" spans="1:4">
      <c r="A482" s="84" t="s">
        <v>494</v>
      </c>
      <c r="B482" s="85" t="s">
        <v>19</v>
      </c>
      <c r="C482" s="85">
        <v>317</v>
      </c>
      <c r="D482" s="86" t="str">
        <f t="shared" si="7"/>
        <v>Пн</v>
      </c>
    </row>
    <row r="483" spans="1:4">
      <c r="A483" s="87" t="s">
        <v>495</v>
      </c>
      <c r="B483" s="88" t="s">
        <v>21</v>
      </c>
      <c r="C483" s="88">
        <v>518</v>
      </c>
      <c r="D483" s="89" t="str">
        <f t="shared" si="7"/>
        <v>Пн</v>
      </c>
    </row>
    <row r="484" spans="1:4">
      <c r="A484" s="87" t="s">
        <v>496</v>
      </c>
      <c r="B484" s="88" t="s">
        <v>23</v>
      </c>
      <c r="C484" s="88">
        <v>498</v>
      </c>
      <c r="D484" s="89" t="str">
        <f t="shared" si="7"/>
        <v>Пн</v>
      </c>
    </row>
    <row r="485" spans="1:4">
      <c r="A485" s="87" t="s">
        <v>497</v>
      </c>
      <c r="B485" s="88" t="s">
        <v>5</v>
      </c>
      <c r="C485" s="88">
        <v>221</v>
      </c>
      <c r="D485" s="89" t="str">
        <f t="shared" si="7"/>
        <v>Пн</v>
      </c>
    </row>
    <row r="486" spans="1:4">
      <c r="A486" s="87" t="s">
        <v>498</v>
      </c>
      <c r="B486" s="88" t="s">
        <v>7</v>
      </c>
      <c r="C486" s="88">
        <v>234</v>
      </c>
      <c r="D486" s="89" t="str">
        <f t="shared" si="7"/>
        <v>Пн</v>
      </c>
    </row>
    <row r="487" spans="1:4">
      <c r="A487" s="87" t="s">
        <v>499</v>
      </c>
      <c r="B487" s="88" t="s">
        <v>9</v>
      </c>
      <c r="C487" s="88">
        <v>631</v>
      </c>
      <c r="D487" s="89" t="str">
        <f t="shared" si="7"/>
        <v>Пн</v>
      </c>
    </row>
    <row r="488" spans="1:4">
      <c r="A488" s="87" t="s">
        <v>500</v>
      </c>
      <c r="B488" s="88" t="s">
        <v>11</v>
      </c>
      <c r="C488" s="88">
        <v>537</v>
      </c>
      <c r="D488" s="89" t="str">
        <f t="shared" si="7"/>
        <v>Пн</v>
      </c>
    </row>
    <row r="489" spans="1:4">
      <c r="A489" s="87" t="s">
        <v>501</v>
      </c>
      <c r="B489" s="88" t="s">
        <v>13</v>
      </c>
      <c r="C489" s="88">
        <v>549</v>
      </c>
      <c r="D489" s="89" t="str">
        <f t="shared" si="7"/>
        <v>Пн</v>
      </c>
    </row>
    <row r="490" spans="1:4">
      <c r="A490" s="87" t="s">
        <v>502</v>
      </c>
      <c r="B490" s="88" t="s">
        <v>15</v>
      </c>
      <c r="C490" s="88">
        <v>443</v>
      </c>
      <c r="D490" s="89" t="str">
        <f t="shared" si="7"/>
        <v>Пн</v>
      </c>
    </row>
    <row r="491" spans="1:4">
      <c r="A491" s="87" t="s">
        <v>503</v>
      </c>
      <c r="B491" s="88" t="s">
        <v>17</v>
      </c>
      <c r="C491" s="88">
        <v>471</v>
      </c>
      <c r="D491" s="89" t="str">
        <f t="shared" si="7"/>
        <v>Пн</v>
      </c>
    </row>
    <row r="492" spans="1:4">
      <c r="A492" s="87" t="s">
        <v>504</v>
      </c>
      <c r="B492" s="88" t="s">
        <v>19</v>
      </c>
      <c r="C492" s="88">
        <v>61</v>
      </c>
      <c r="D492" s="89" t="str">
        <f t="shared" si="7"/>
        <v>Пн</v>
      </c>
    </row>
    <row r="493" spans="1:4">
      <c r="A493" s="87" t="s">
        <v>505</v>
      </c>
      <c r="B493" s="88" t="s">
        <v>21</v>
      </c>
      <c r="C493" s="88">
        <v>615</v>
      </c>
      <c r="D493" s="89" t="str">
        <f t="shared" si="7"/>
        <v>Пн</v>
      </c>
    </row>
    <row r="494" spans="1:4">
      <c r="A494" s="87" t="s">
        <v>506</v>
      </c>
      <c r="B494" s="88" t="s">
        <v>23</v>
      </c>
      <c r="C494" s="88">
        <v>11</v>
      </c>
      <c r="D494" s="89" t="str">
        <f t="shared" si="7"/>
        <v>Пн</v>
      </c>
    </row>
    <row r="495" spans="1:4">
      <c r="A495" s="87" t="s">
        <v>507</v>
      </c>
      <c r="B495" s="88" t="s">
        <v>5</v>
      </c>
      <c r="C495" s="88">
        <v>207</v>
      </c>
      <c r="D495" s="89" t="str">
        <f t="shared" si="7"/>
        <v>Пн</v>
      </c>
    </row>
    <row r="496" spans="1:4">
      <c r="A496" s="87" t="s">
        <v>508</v>
      </c>
      <c r="B496" s="88" t="s">
        <v>7</v>
      </c>
      <c r="C496" s="88">
        <v>442</v>
      </c>
      <c r="D496" s="89" t="str">
        <f t="shared" si="7"/>
        <v>Пн</v>
      </c>
    </row>
    <row r="497" spans="1:4">
      <c r="A497" s="87" t="s">
        <v>509</v>
      </c>
      <c r="B497" s="88" t="s">
        <v>9</v>
      </c>
      <c r="C497" s="88">
        <v>525</v>
      </c>
      <c r="D497" s="89" t="str">
        <f t="shared" si="7"/>
        <v>Пн</v>
      </c>
    </row>
    <row r="498" spans="1:4">
      <c r="A498" s="87" t="s">
        <v>510</v>
      </c>
      <c r="B498" s="88" t="s">
        <v>11</v>
      </c>
      <c r="C498" s="88">
        <v>646</v>
      </c>
      <c r="D498" s="89" t="str">
        <f t="shared" si="7"/>
        <v>Пн</v>
      </c>
    </row>
    <row r="499" spans="1:4">
      <c r="A499" s="87" t="s">
        <v>511</v>
      </c>
      <c r="B499" s="88" t="s">
        <v>13</v>
      </c>
      <c r="C499" s="88">
        <v>640</v>
      </c>
      <c r="D499" s="89" t="str">
        <f t="shared" si="7"/>
        <v>Пн</v>
      </c>
    </row>
    <row r="500" spans="1:4">
      <c r="A500" s="87" t="s">
        <v>512</v>
      </c>
      <c r="B500" s="88" t="s">
        <v>15</v>
      </c>
      <c r="C500" s="88">
        <v>557</v>
      </c>
      <c r="D500" s="89" t="str">
        <f t="shared" si="7"/>
        <v>Пн</v>
      </c>
    </row>
    <row r="501" spans="1:4">
      <c r="A501" s="87" t="s">
        <v>513</v>
      </c>
      <c r="B501" s="88" t="s">
        <v>17</v>
      </c>
      <c r="C501" s="88">
        <v>459</v>
      </c>
      <c r="D501" s="89" t="str">
        <f t="shared" si="7"/>
        <v>Пн</v>
      </c>
    </row>
    <row r="502" spans="1:4">
      <c r="A502" s="87" t="s">
        <v>514</v>
      </c>
      <c r="B502" s="88" t="s">
        <v>19</v>
      </c>
      <c r="C502" s="88">
        <v>420</v>
      </c>
      <c r="D502" s="89" t="str">
        <f t="shared" si="7"/>
        <v>Пн</v>
      </c>
    </row>
    <row r="503" spans="1:4">
      <c r="A503" s="87" t="s">
        <v>515</v>
      </c>
      <c r="B503" s="88" t="s">
        <v>21</v>
      </c>
      <c r="C503" s="88">
        <v>173</v>
      </c>
      <c r="D503" s="89" t="str">
        <f t="shared" si="7"/>
        <v>Пн</v>
      </c>
    </row>
    <row r="504" spans="1:4">
      <c r="A504" s="87" t="s">
        <v>516</v>
      </c>
      <c r="B504" s="88" t="s">
        <v>23</v>
      </c>
      <c r="C504" s="88">
        <v>448</v>
      </c>
      <c r="D504" s="89" t="str">
        <f t="shared" si="7"/>
        <v>Пн</v>
      </c>
    </row>
    <row r="505" spans="1:4">
      <c r="A505" s="87" t="s">
        <v>517</v>
      </c>
      <c r="B505" s="88" t="s">
        <v>5</v>
      </c>
      <c r="C505" s="88">
        <v>114</v>
      </c>
      <c r="D505" s="89" t="str">
        <f t="shared" si="7"/>
        <v>Пн</v>
      </c>
    </row>
    <row r="506" spans="1:4">
      <c r="A506" s="87" t="s">
        <v>518</v>
      </c>
      <c r="B506" s="88" t="s">
        <v>7</v>
      </c>
      <c r="C506" s="88">
        <v>167</v>
      </c>
      <c r="D506" s="89" t="str">
        <f t="shared" si="7"/>
        <v>Вт</v>
      </c>
    </row>
    <row r="507" spans="1:4">
      <c r="A507" s="87" t="s">
        <v>519</v>
      </c>
      <c r="B507" s="88" t="s">
        <v>9</v>
      </c>
      <c r="C507" s="88">
        <v>352</v>
      </c>
      <c r="D507" s="89" t="str">
        <f t="shared" si="7"/>
        <v>Вт</v>
      </c>
    </row>
    <row r="508" spans="1:4">
      <c r="A508" s="87" t="s">
        <v>520</v>
      </c>
      <c r="B508" s="88" t="s">
        <v>11</v>
      </c>
      <c r="C508" s="88">
        <v>148</v>
      </c>
      <c r="D508" s="89" t="str">
        <f t="shared" si="7"/>
        <v>Вт</v>
      </c>
    </row>
    <row r="509" spans="1:4">
      <c r="A509" s="87" t="s">
        <v>521</v>
      </c>
      <c r="B509" s="88" t="s">
        <v>13</v>
      </c>
      <c r="C509" s="88">
        <v>13</v>
      </c>
      <c r="D509" s="89" t="str">
        <f t="shared" si="7"/>
        <v>Вт</v>
      </c>
    </row>
    <row r="510" spans="1:4">
      <c r="A510" s="87" t="s">
        <v>522</v>
      </c>
      <c r="B510" s="88" t="s">
        <v>15</v>
      </c>
      <c r="C510" s="88">
        <v>597</v>
      </c>
      <c r="D510" s="89" t="str">
        <f t="shared" si="7"/>
        <v>Вт</v>
      </c>
    </row>
    <row r="511" spans="1:4">
      <c r="A511" s="87" t="s">
        <v>523</v>
      </c>
      <c r="B511" s="88" t="s">
        <v>17</v>
      </c>
      <c r="C511" s="88">
        <v>441</v>
      </c>
      <c r="D511" s="89" t="str">
        <f t="shared" si="7"/>
        <v>Вт</v>
      </c>
    </row>
    <row r="512" spans="1:4">
      <c r="A512" s="87" t="s">
        <v>524</v>
      </c>
      <c r="B512" s="88" t="s">
        <v>19</v>
      </c>
      <c r="C512" s="88">
        <v>37</v>
      </c>
      <c r="D512" s="89" t="str">
        <f t="shared" si="7"/>
        <v>Вт</v>
      </c>
    </row>
    <row r="513" spans="1:4">
      <c r="A513" s="87" t="s">
        <v>525</v>
      </c>
      <c r="B513" s="88" t="s">
        <v>21</v>
      </c>
      <c r="C513" s="88">
        <v>365</v>
      </c>
      <c r="D513" s="89" t="str">
        <f t="shared" si="7"/>
        <v>Вт</v>
      </c>
    </row>
    <row r="514" spans="1:4">
      <c r="A514" s="87" t="s">
        <v>526</v>
      </c>
      <c r="B514" s="88" t="s">
        <v>23</v>
      </c>
      <c r="C514" s="88">
        <v>358</v>
      </c>
      <c r="D514" s="89" t="str">
        <f t="shared" ref="D514:D577" si="8">CHOOSE(WEEKDAY(DATE(VALUE(LEFT(A514,4)),VALUE(MID(A514,6,2)),VALUE(MID(A514,9,2))),2),"Пн","Вт","Ср","Чт","Пт","Сб","Вс")</f>
        <v>Вт</v>
      </c>
    </row>
    <row r="515" spans="1:4">
      <c r="A515" s="87" t="s">
        <v>527</v>
      </c>
      <c r="B515" s="88" t="s">
        <v>5</v>
      </c>
      <c r="C515" s="88">
        <v>484</v>
      </c>
      <c r="D515" s="89" t="str">
        <f t="shared" si="8"/>
        <v>Вт</v>
      </c>
    </row>
    <row r="516" spans="1:4">
      <c r="A516" s="87" t="s">
        <v>528</v>
      </c>
      <c r="B516" s="88" t="s">
        <v>7</v>
      </c>
      <c r="C516" s="88">
        <v>367</v>
      </c>
      <c r="D516" s="89" t="str">
        <f t="shared" si="8"/>
        <v>Вт</v>
      </c>
    </row>
    <row r="517" spans="1:4">
      <c r="A517" s="87" t="s">
        <v>529</v>
      </c>
      <c r="B517" s="88" t="s">
        <v>9</v>
      </c>
      <c r="C517" s="88">
        <v>127</v>
      </c>
      <c r="D517" s="89" t="str">
        <f t="shared" si="8"/>
        <v>Вт</v>
      </c>
    </row>
    <row r="518" spans="1:4">
      <c r="A518" s="87" t="s">
        <v>530</v>
      </c>
      <c r="B518" s="88" t="s">
        <v>11</v>
      </c>
      <c r="C518" s="88">
        <v>368</v>
      </c>
      <c r="D518" s="89" t="str">
        <f t="shared" si="8"/>
        <v>Вт</v>
      </c>
    </row>
    <row r="519" spans="1:4">
      <c r="A519" s="87" t="s">
        <v>531</v>
      </c>
      <c r="B519" s="88" t="s">
        <v>13</v>
      </c>
      <c r="C519" s="88">
        <v>387</v>
      </c>
      <c r="D519" s="89" t="str">
        <f t="shared" si="8"/>
        <v>Вт</v>
      </c>
    </row>
    <row r="520" spans="1:4">
      <c r="A520" s="87" t="s">
        <v>532</v>
      </c>
      <c r="B520" s="88" t="s">
        <v>15</v>
      </c>
      <c r="C520" s="88">
        <v>629</v>
      </c>
      <c r="D520" s="89" t="str">
        <f t="shared" si="8"/>
        <v>Вт</v>
      </c>
    </row>
    <row r="521" spans="1:4">
      <c r="A521" s="87" t="s">
        <v>533</v>
      </c>
      <c r="B521" s="88" t="s">
        <v>17</v>
      </c>
      <c r="C521" s="88">
        <v>645</v>
      </c>
      <c r="D521" s="89" t="str">
        <f t="shared" si="8"/>
        <v>Вт</v>
      </c>
    </row>
    <row r="522" spans="1:4">
      <c r="A522" s="87" t="s">
        <v>534</v>
      </c>
      <c r="B522" s="88" t="s">
        <v>19</v>
      </c>
      <c r="C522" s="88">
        <v>33</v>
      </c>
      <c r="D522" s="89" t="str">
        <f t="shared" si="8"/>
        <v>Вт</v>
      </c>
    </row>
    <row r="523" spans="1:4">
      <c r="A523" s="87" t="s">
        <v>535</v>
      </c>
      <c r="B523" s="88" t="s">
        <v>21</v>
      </c>
      <c r="C523" s="88">
        <v>554</v>
      </c>
      <c r="D523" s="89" t="str">
        <f t="shared" si="8"/>
        <v>Вт</v>
      </c>
    </row>
    <row r="524" spans="1:4">
      <c r="A524" s="87" t="s">
        <v>536</v>
      </c>
      <c r="B524" s="88" t="s">
        <v>23</v>
      </c>
      <c r="C524" s="88">
        <v>430</v>
      </c>
      <c r="D524" s="89" t="str">
        <f t="shared" si="8"/>
        <v>Вт</v>
      </c>
    </row>
    <row r="525" spans="1:4">
      <c r="A525" s="87" t="s">
        <v>537</v>
      </c>
      <c r="B525" s="88" t="s">
        <v>5</v>
      </c>
      <c r="C525" s="88">
        <v>332</v>
      </c>
      <c r="D525" s="89" t="str">
        <f t="shared" si="8"/>
        <v>Вт</v>
      </c>
    </row>
    <row r="526" spans="1:4">
      <c r="A526" s="87" t="s">
        <v>538</v>
      </c>
      <c r="B526" s="88" t="s">
        <v>7</v>
      </c>
      <c r="C526" s="88">
        <v>435</v>
      </c>
      <c r="D526" s="89" t="str">
        <f t="shared" si="8"/>
        <v>Вт</v>
      </c>
    </row>
    <row r="527" spans="1:4">
      <c r="A527" s="87" t="s">
        <v>539</v>
      </c>
      <c r="B527" s="88" t="s">
        <v>9</v>
      </c>
      <c r="C527" s="88">
        <v>605</v>
      </c>
      <c r="D527" s="89" t="str">
        <f t="shared" si="8"/>
        <v>Вт</v>
      </c>
    </row>
    <row r="528" spans="1:4">
      <c r="A528" s="87" t="s">
        <v>540</v>
      </c>
      <c r="B528" s="88" t="s">
        <v>11</v>
      </c>
      <c r="C528" s="88">
        <v>47</v>
      </c>
      <c r="D528" s="89" t="str">
        <f t="shared" si="8"/>
        <v>Вт</v>
      </c>
    </row>
    <row r="529" spans="1:4">
      <c r="A529" s="87" t="s">
        <v>541</v>
      </c>
      <c r="B529" s="88" t="s">
        <v>13</v>
      </c>
      <c r="C529" s="88">
        <v>303</v>
      </c>
      <c r="D529" s="89" t="str">
        <f t="shared" si="8"/>
        <v>Вт</v>
      </c>
    </row>
    <row r="530" spans="1:4">
      <c r="A530" s="87" t="s">
        <v>542</v>
      </c>
      <c r="B530" s="88" t="s">
        <v>15</v>
      </c>
      <c r="C530" s="88">
        <v>496</v>
      </c>
      <c r="D530" s="89" t="str">
        <f t="shared" si="8"/>
        <v>Ср</v>
      </c>
    </row>
    <row r="531" spans="1:4">
      <c r="A531" s="87" t="s">
        <v>543</v>
      </c>
      <c r="B531" s="88" t="s">
        <v>17</v>
      </c>
      <c r="C531" s="88">
        <v>383</v>
      </c>
      <c r="D531" s="89" t="str">
        <f t="shared" si="8"/>
        <v>Ср</v>
      </c>
    </row>
    <row r="532" spans="1:4">
      <c r="A532" s="87" t="s">
        <v>544</v>
      </c>
      <c r="B532" s="88" t="s">
        <v>19</v>
      </c>
      <c r="C532" s="88">
        <v>381</v>
      </c>
      <c r="D532" s="89" t="str">
        <f t="shared" si="8"/>
        <v>Ср</v>
      </c>
    </row>
    <row r="533" spans="1:4">
      <c r="A533" s="87" t="s">
        <v>545</v>
      </c>
      <c r="B533" s="88" t="s">
        <v>21</v>
      </c>
      <c r="C533" s="88">
        <v>351</v>
      </c>
      <c r="D533" s="89" t="str">
        <f t="shared" si="8"/>
        <v>Ср</v>
      </c>
    </row>
    <row r="534" spans="1:4">
      <c r="A534" s="87" t="s">
        <v>546</v>
      </c>
      <c r="B534" s="88" t="s">
        <v>23</v>
      </c>
      <c r="C534" s="88">
        <v>165</v>
      </c>
      <c r="D534" s="89" t="str">
        <f t="shared" si="8"/>
        <v>Ср</v>
      </c>
    </row>
    <row r="535" spans="1:4">
      <c r="A535" s="87" t="s">
        <v>547</v>
      </c>
      <c r="B535" s="88" t="s">
        <v>5</v>
      </c>
      <c r="C535" s="88">
        <v>272</v>
      </c>
      <c r="D535" s="89" t="str">
        <f t="shared" si="8"/>
        <v>Ср</v>
      </c>
    </row>
    <row r="536" spans="1:4">
      <c r="A536" s="87" t="s">
        <v>548</v>
      </c>
      <c r="B536" s="88" t="s">
        <v>7</v>
      </c>
      <c r="C536" s="88">
        <v>445</v>
      </c>
      <c r="D536" s="89" t="str">
        <f t="shared" si="8"/>
        <v>Ср</v>
      </c>
    </row>
    <row r="537" spans="1:4">
      <c r="A537" s="87" t="s">
        <v>549</v>
      </c>
      <c r="B537" s="88" t="s">
        <v>9</v>
      </c>
      <c r="C537" s="88">
        <v>338</v>
      </c>
      <c r="D537" s="89" t="str">
        <f t="shared" si="8"/>
        <v>Ср</v>
      </c>
    </row>
    <row r="538" spans="1:4">
      <c r="A538" s="87" t="s">
        <v>550</v>
      </c>
      <c r="B538" s="88" t="s">
        <v>11</v>
      </c>
      <c r="C538" s="88">
        <v>140</v>
      </c>
      <c r="D538" s="89" t="str">
        <f t="shared" si="8"/>
        <v>Ср</v>
      </c>
    </row>
    <row r="539" spans="1:4">
      <c r="A539" s="87" t="s">
        <v>551</v>
      </c>
      <c r="B539" s="88" t="s">
        <v>13</v>
      </c>
      <c r="C539" s="88">
        <v>623</v>
      </c>
      <c r="D539" s="89" t="str">
        <f t="shared" si="8"/>
        <v>Ср</v>
      </c>
    </row>
    <row r="540" spans="1:4">
      <c r="A540" s="87" t="s">
        <v>552</v>
      </c>
      <c r="B540" s="88" t="s">
        <v>15</v>
      </c>
      <c r="C540" s="88">
        <v>269</v>
      </c>
      <c r="D540" s="89" t="str">
        <f t="shared" si="8"/>
        <v>Ср</v>
      </c>
    </row>
    <row r="541" spans="1:4">
      <c r="A541" s="87" t="s">
        <v>553</v>
      </c>
      <c r="B541" s="88" t="s">
        <v>17</v>
      </c>
      <c r="C541" s="88">
        <v>546</v>
      </c>
      <c r="D541" s="89" t="str">
        <f t="shared" si="8"/>
        <v>Ср</v>
      </c>
    </row>
    <row r="542" spans="1:4">
      <c r="A542" s="87" t="s">
        <v>554</v>
      </c>
      <c r="B542" s="88" t="s">
        <v>19</v>
      </c>
      <c r="C542" s="88">
        <v>318</v>
      </c>
      <c r="D542" s="89" t="str">
        <f t="shared" si="8"/>
        <v>Ср</v>
      </c>
    </row>
    <row r="543" spans="1:4">
      <c r="A543" s="87" t="s">
        <v>555</v>
      </c>
      <c r="B543" s="88" t="s">
        <v>21</v>
      </c>
      <c r="C543" s="88">
        <v>397</v>
      </c>
      <c r="D543" s="89" t="str">
        <f t="shared" si="8"/>
        <v>Ср</v>
      </c>
    </row>
    <row r="544" spans="1:4">
      <c r="A544" s="87" t="s">
        <v>556</v>
      </c>
      <c r="B544" s="88" t="s">
        <v>23</v>
      </c>
      <c r="C544" s="88">
        <v>241</v>
      </c>
      <c r="D544" s="89" t="str">
        <f t="shared" si="8"/>
        <v>Ср</v>
      </c>
    </row>
    <row r="545" spans="1:4">
      <c r="A545" s="87" t="s">
        <v>557</v>
      </c>
      <c r="B545" s="88" t="s">
        <v>5</v>
      </c>
      <c r="C545" s="88">
        <v>636</v>
      </c>
      <c r="D545" s="89" t="str">
        <f t="shared" si="8"/>
        <v>Ср</v>
      </c>
    </row>
    <row r="546" spans="1:4">
      <c r="A546" s="87" t="s">
        <v>558</v>
      </c>
      <c r="B546" s="88" t="s">
        <v>7</v>
      </c>
      <c r="C546" s="88">
        <v>156</v>
      </c>
      <c r="D546" s="89" t="str">
        <f t="shared" si="8"/>
        <v>Ср</v>
      </c>
    </row>
    <row r="547" spans="1:4">
      <c r="A547" s="87" t="s">
        <v>559</v>
      </c>
      <c r="B547" s="88" t="s">
        <v>9</v>
      </c>
      <c r="C547" s="88">
        <v>327</v>
      </c>
      <c r="D547" s="89" t="str">
        <f t="shared" si="8"/>
        <v>Ср</v>
      </c>
    </row>
    <row r="548" spans="1:4">
      <c r="A548" s="87" t="s">
        <v>560</v>
      </c>
      <c r="B548" s="88" t="s">
        <v>11</v>
      </c>
      <c r="C548" s="88">
        <v>39</v>
      </c>
      <c r="D548" s="89" t="str">
        <f t="shared" si="8"/>
        <v>Ср</v>
      </c>
    </row>
    <row r="549" spans="1:4">
      <c r="A549" s="87" t="s">
        <v>561</v>
      </c>
      <c r="B549" s="88" t="s">
        <v>13</v>
      </c>
      <c r="C549" s="88">
        <v>485</v>
      </c>
      <c r="D549" s="89" t="str">
        <f t="shared" si="8"/>
        <v>Ср</v>
      </c>
    </row>
    <row r="550" spans="1:4">
      <c r="A550" s="87" t="s">
        <v>562</v>
      </c>
      <c r="B550" s="88" t="s">
        <v>15</v>
      </c>
      <c r="C550" s="88">
        <v>134</v>
      </c>
      <c r="D550" s="89" t="str">
        <f t="shared" si="8"/>
        <v>Ср</v>
      </c>
    </row>
    <row r="551" spans="1:4">
      <c r="A551" s="87" t="s">
        <v>563</v>
      </c>
      <c r="B551" s="88" t="s">
        <v>17</v>
      </c>
      <c r="C551" s="88">
        <v>82</v>
      </c>
      <c r="D551" s="89" t="str">
        <f t="shared" si="8"/>
        <v>Ср</v>
      </c>
    </row>
    <row r="552" spans="1:4">
      <c r="A552" s="87" t="s">
        <v>564</v>
      </c>
      <c r="B552" s="88" t="s">
        <v>5</v>
      </c>
      <c r="C552" s="88">
        <v>57</v>
      </c>
      <c r="D552" s="89" t="str">
        <f t="shared" si="8"/>
        <v>Ср</v>
      </c>
    </row>
    <row r="553" spans="1:4">
      <c r="A553" s="87" t="s">
        <v>565</v>
      </c>
      <c r="B553" s="88" t="s">
        <v>7</v>
      </c>
      <c r="C553" s="88">
        <v>283</v>
      </c>
      <c r="D553" s="89" t="str">
        <f t="shared" si="8"/>
        <v>Ср</v>
      </c>
    </row>
    <row r="554" spans="1:4">
      <c r="A554" s="87" t="s">
        <v>566</v>
      </c>
      <c r="B554" s="88" t="s">
        <v>17</v>
      </c>
      <c r="C554" s="88">
        <v>308</v>
      </c>
      <c r="D554" s="89" t="str">
        <f t="shared" si="8"/>
        <v>Чт</v>
      </c>
    </row>
    <row r="555" spans="1:4">
      <c r="A555" s="87" t="s">
        <v>567</v>
      </c>
      <c r="B555" s="88" t="s">
        <v>19</v>
      </c>
      <c r="C555" s="88">
        <v>495</v>
      </c>
      <c r="D555" s="89" t="str">
        <f t="shared" si="8"/>
        <v>Чт</v>
      </c>
    </row>
    <row r="556" spans="1:4">
      <c r="A556" s="87" t="s">
        <v>568</v>
      </c>
      <c r="B556" s="88" t="s">
        <v>21</v>
      </c>
      <c r="C556" s="88">
        <v>547</v>
      </c>
      <c r="D556" s="89" t="str">
        <f t="shared" si="8"/>
        <v>Чт</v>
      </c>
    </row>
    <row r="557" spans="1:4">
      <c r="A557" s="87" t="s">
        <v>569</v>
      </c>
      <c r="B557" s="88" t="s">
        <v>23</v>
      </c>
      <c r="C557" s="88">
        <v>447</v>
      </c>
      <c r="D557" s="89" t="str">
        <f t="shared" si="8"/>
        <v>Чт</v>
      </c>
    </row>
    <row r="558" spans="1:4">
      <c r="A558" s="87" t="s">
        <v>570</v>
      </c>
      <c r="B558" s="88" t="s">
        <v>5</v>
      </c>
      <c r="C558" s="88">
        <v>413</v>
      </c>
      <c r="D558" s="89" t="str">
        <f t="shared" si="8"/>
        <v>Чт</v>
      </c>
    </row>
    <row r="559" spans="1:4">
      <c r="A559" s="87" t="s">
        <v>571</v>
      </c>
      <c r="B559" s="88" t="s">
        <v>7</v>
      </c>
      <c r="C559" s="88">
        <v>168</v>
      </c>
      <c r="D559" s="89" t="str">
        <f t="shared" si="8"/>
        <v>Чт</v>
      </c>
    </row>
    <row r="560" spans="1:4">
      <c r="A560" s="87" t="s">
        <v>572</v>
      </c>
      <c r="B560" s="88" t="s">
        <v>9</v>
      </c>
      <c r="C560" s="88">
        <v>339</v>
      </c>
      <c r="D560" s="89" t="str">
        <f t="shared" si="8"/>
        <v>Чт</v>
      </c>
    </row>
    <row r="561" spans="1:4">
      <c r="A561" s="87" t="s">
        <v>573</v>
      </c>
      <c r="B561" s="88" t="s">
        <v>11</v>
      </c>
      <c r="C561" s="88">
        <v>450</v>
      </c>
      <c r="D561" s="89" t="str">
        <f t="shared" si="8"/>
        <v>Чт</v>
      </c>
    </row>
    <row r="562" spans="1:4">
      <c r="A562" s="87" t="s">
        <v>574</v>
      </c>
      <c r="B562" s="88" t="s">
        <v>13</v>
      </c>
      <c r="C562" s="88">
        <v>242</v>
      </c>
      <c r="D562" s="89" t="str">
        <f t="shared" si="8"/>
        <v>Чт</v>
      </c>
    </row>
    <row r="563" spans="1:4">
      <c r="A563" s="87" t="s">
        <v>575</v>
      </c>
      <c r="B563" s="88" t="s">
        <v>15</v>
      </c>
      <c r="C563" s="88">
        <v>531</v>
      </c>
      <c r="D563" s="89" t="str">
        <f t="shared" si="8"/>
        <v>Чт</v>
      </c>
    </row>
    <row r="564" spans="1:4">
      <c r="A564" s="87" t="s">
        <v>576</v>
      </c>
      <c r="B564" s="88" t="s">
        <v>17</v>
      </c>
      <c r="C564" s="88">
        <v>494</v>
      </c>
      <c r="D564" s="89" t="str">
        <f t="shared" si="8"/>
        <v>Чт</v>
      </c>
    </row>
    <row r="565" spans="1:4">
      <c r="A565" s="87" t="s">
        <v>577</v>
      </c>
      <c r="B565" s="88" t="s">
        <v>19</v>
      </c>
      <c r="C565" s="88">
        <v>131</v>
      </c>
      <c r="D565" s="89" t="str">
        <f t="shared" si="8"/>
        <v>Чт</v>
      </c>
    </row>
    <row r="566" spans="1:4">
      <c r="A566" s="87" t="s">
        <v>578</v>
      </c>
      <c r="B566" s="88" t="s">
        <v>21</v>
      </c>
      <c r="C566" s="88">
        <v>360</v>
      </c>
      <c r="D566" s="89" t="str">
        <f t="shared" si="8"/>
        <v>Чт</v>
      </c>
    </row>
    <row r="567" spans="1:4">
      <c r="A567" s="87" t="s">
        <v>579</v>
      </c>
      <c r="B567" s="88" t="s">
        <v>23</v>
      </c>
      <c r="C567" s="88">
        <v>212</v>
      </c>
      <c r="D567" s="89" t="str">
        <f t="shared" si="8"/>
        <v>Чт</v>
      </c>
    </row>
    <row r="568" spans="1:4">
      <c r="A568" s="87" t="s">
        <v>580</v>
      </c>
      <c r="B568" s="88" t="s">
        <v>5</v>
      </c>
      <c r="C568" s="88">
        <v>222</v>
      </c>
      <c r="D568" s="89" t="str">
        <f t="shared" si="8"/>
        <v>Чт</v>
      </c>
    </row>
    <row r="569" spans="1:4">
      <c r="A569" s="87" t="s">
        <v>581</v>
      </c>
      <c r="B569" s="88" t="s">
        <v>7</v>
      </c>
      <c r="C569" s="88">
        <v>466</v>
      </c>
      <c r="D569" s="89" t="str">
        <f t="shared" si="8"/>
        <v>Чт</v>
      </c>
    </row>
    <row r="570" spans="1:4">
      <c r="A570" s="87" t="s">
        <v>582</v>
      </c>
      <c r="B570" s="88" t="s">
        <v>9</v>
      </c>
      <c r="C570" s="88">
        <v>560</v>
      </c>
      <c r="D570" s="89" t="str">
        <f t="shared" si="8"/>
        <v>Чт</v>
      </c>
    </row>
    <row r="571" spans="1:4">
      <c r="A571" s="87" t="s">
        <v>583</v>
      </c>
      <c r="B571" s="88" t="s">
        <v>11</v>
      </c>
      <c r="C571" s="88">
        <v>618</v>
      </c>
      <c r="D571" s="89" t="str">
        <f t="shared" si="8"/>
        <v>Чт</v>
      </c>
    </row>
    <row r="572" spans="1:4">
      <c r="A572" s="87" t="s">
        <v>584</v>
      </c>
      <c r="B572" s="88" t="s">
        <v>13</v>
      </c>
      <c r="C572" s="88">
        <v>364</v>
      </c>
      <c r="D572" s="89" t="str">
        <f t="shared" si="8"/>
        <v>Чт</v>
      </c>
    </row>
    <row r="573" spans="1:4">
      <c r="A573" s="87" t="s">
        <v>585</v>
      </c>
      <c r="B573" s="88" t="s">
        <v>15</v>
      </c>
      <c r="C573" s="88">
        <v>540</v>
      </c>
      <c r="D573" s="89" t="str">
        <f t="shared" si="8"/>
        <v>Чт</v>
      </c>
    </row>
    <row r="574" spans="1:4">
      <c r="A574" s="87" t="s">
        <v>586</v>
      </c>
      <c r="B574" s="88" t="s">
        <v>17</v>
      </c>
      <c r="C574" s="88">
        <v>382</v>
      </c>
      <c r="D574" s="89" t="str">
        <f t="shared" si="8"/>
        <v>Чт</v>
      </c>
    </row>
    <row r="575" spans="1:4">
      <c r="A575" s="87" t="s">
        <v>587</v>
      </c>
      <c r="B575" s="88" t="s">
        <v>19</v>
      </c>
      <c r="C575" s="88">
        <v>514</v>
      </c>
      <c r="D575" s="89" t="str">
        <f t="shared" si="8"/>
        <v>Чт</v>
      </c>
    </row>
    <row r="576" spans="1:4">
      <c r="A576" s="87" t="s">
        <v>588</v>
      </c>
      <c r="B576" s="88" t="s">
        <v>21</v>
      </c>
      <c r="C576" s="88">
        <v>31</v>
      </c>
      <c r="D576" s="89" t="str">
        <f t="shared" si="8"/>
        <v>Чт</v>
      </c>
    </row>
    <row r="577" spans="1:4">
      <c r="A577" s="87" t="s">
        <v>589</v>
      </c>
      <c r="B577" s="88" t="s">
        <v>23</v>
      </c>
      <c r="C577" s="88">
        <v>371</v>
      </c>
      <c r="D577" s="89" t="str">
        <f t="shared" si="8"/>
        <v>Чт</v>
      </c>
    </row>
    <row r="578" spans="1:4">
      <c r="A578" s="87" t="s">
        <v>590</v>
      </c>
      <c r="B578" s="88" t="s">
        <v>5</v>
      </c>
      <c r="C578" s="88">
        <v>278</v>
      </c>
      <c r="D578" s="89" t="str">
        <f t="shared" ref="D578:D641" si="9">CHOOSE(WEEKDAY(DATE(VALUE(LEFT(A578,4)),VALUE(MID(A578,6,2)),VALUE(MID(A578,9,2))),2),"Пн","Вт","Ср","Чт","Пт","Сб","Вс")</f>
        <v>Пт</v>
      </c>
    </row>
    <row r="579" spans="1:4">
      <c r="A579" s="87" t="s">
        <v>591</v>
      </c>
      <c r="B579" s="88" t="s">
        <v>7</v>
      </c>
      <c r="C579" s="88">
        <v>311</v>
      </c>
      <c r="D579" s="89" t="str">
        <f t="shared" si="9"/>
        <v>Пт</v>
      </c>
    </row>
    <row r="580" spans="1:4">
      <c r="A580" s="87" t="s">
        <v>592</v>
      </c>
      <c r="B580" s="88" t="s">
        <v>9</v>
      </c>
      <c r="C580" s="88">
        <v>517</v>
      </c>
      <c r="D580" s="89" t="str">
        <f t="shared" si="9"/>
        <v>Пт</v>
      </c>
    </row>
    <row r="581" spans="1:4">
      <c r="A581" s="87" t="s">
        <v>593</v>
      </c>
      <c r="B581" s="88" t="s">
        <v>11</v>
      </c>
      <c r="C581" s="88">
        <v>429</v>
      </c>
      <c r="D581" s="89" t="str">
        <f t="shared" si="9"/>
        <v>Пт</v>
      </c>
    </row>
    <row r="582" spans="1:4">
      <c r="A582" s="87" t="s">
        <v>594</v>
      </c>
      <c r="B582" s="88" t="s">
        <v>13</v>
      </c>
      <c r="C582" s="88">
        <v>276</v>
      </c>
      <c r="D582" s="89" t="str">
        <f t="shared" si="9"/>
        <v>Пт</v>
      </c>
    </row>
    <row r="583" spans="1:4">
      <c r="A583" s="87" t="s">
        <v>595</v>
      </c>
      <c r="B583" s="88" t="s">
        <v>15</v>
      </c>
      <c r="C583" s="88">
        <v>291</v>
      </c>
      <c r="D583" s="89" t="str">
        <f t="shared" si="9"/>
        <v>Пт</v>
      </c>
    </row>
    <row r="584" spans="1:4">
      <c r="A584" s="87" t="s">
        <v>596</v>
      </c>
      <c r="B584" s="88" t="s">
        <v>17</v>
      </c>
      <c r="C584" s="88">
        <v>233</v>
      </c>
      <c r="D584" s="89" t="str">
        <f t="shared" si="9"/>
        <v>Пт</v>
      </c>
    </row>
    <row r="585" spans="1:4">
      <c r="A585" s="87" t="s">
        <v>597</v>
      </c>
      <c r="B585" s="88" t="s">
        <v>19</v>
      </c>
      <c r="C585" s="88">
        <v>585</v>
      </c>
      <c r="D585" s="89" t="str">
        <f t="shared" si="9"/>
        <v>Пт</v>
      </c>
    </row>
    <row r="586" spans="1:4">
      <c r="A586" s="87" t="s">
        <v>598</v>
      </c>
      <c r="B586" s="88" t="s">
        <v>21</v>
      </c>
      <c r="C586" s="88">
        <v>414</v>
      </c>
      <c r="D586" s="89" t="str">
        <f t="shared" si="9"/>
        <v>Пт</v>
      </c>
    </row>
    <row r="587" spans="1:4">
      <c r="A587" s="87" t="s">
        <v>599</v>
      </c>
      <c r="B587" s="88" t="s">
        <v>23</v>
      </c>
      <c r="C587" s="88">
        <v>49</v>
      </c>
      <c r="D587" s="89" t="str">
        <f t="shared" si="9"/>
        <v>Пт</v>
      </c>
    </row>
    <row r="588" spans="1:4">
      <c r="A588" s="87" t="s">
        <v>600</v>
      </c>
      <c r="B588" s="88" t="s">
        <v>5</v>
      </c>
      <c r="C588" s="88">
        <v>18</v>
      </c>
      <c r="D588" s="89" t="str">
        <f t="shared" si="9"/>
        <v>Пт</v>
      </c>
    </row>
    <row r="589" spans="1:4">
      <c r="A589" s="87" t="s">
        <v>601</v>
      </c>
      <c r="B589" s="88" t="s">
        <v>7</v>
      </c>
      <c r="C589" s="88">
        <v>357</v>
      </c>
      <c r="D589" s="89" t="str">
        <f t="shared" si="9"/>
        <v>Пт</v>
      </c>
    </row>
    <row r="590" spans="1:4">
      <c r="A590" s="87" t="s">
        <v>602</v>
      </c>
      <c r="B590" s="88" t="s">
        <v>9</v>
      </c>
      <c r="C590" s="88">
        <v>325</v>
      </c>
      <c r="D590" s="89" t="str">
        <f t="shared" si="9"/>
        <v>Пт</v>
      </c>
    </row>
    <row r="591" spans="1:4">
      <c r="A591" s="87" t="s">
        <v>603</v>
      </c>
      <c r="B591" s="88" t="s">
        <v>11</v>
      </c>
      <c r="C591" s="88">
        <v>270</v>
      </c>
      <c r="D591" s="89" t="str">
        <f t="shared" si="9"/>
        <v>Пт</v>
      </c>
    </row>
    <row r="592" spans="1:4">
      <c r="A592" s="87" t="s">
        <v>604</v>
      </c>
      <c r="B592" s="88" t="s">
        <v>13</v>
      </c>
      <c r="C592" s="88">
        <v>552</v>
      </c>
      <c r="D592" s="89" t="str">
        <f t="shared" si="9"/>
        <v>Пт</v>
      </c>
    </row>
    <row r="593" spans="1:4">
      <c r="A593" s="87" t="s">
        <v>605</v>
      </c>
      <c r="B593" s="88" t="s">
        <v>15</v>
      </c>
      <c r="C593" s="88">
        <v>223</v>
      </c>
      <c r="D593" s="89" t="str">
        <f t="shared" si="9"/>
        <v>Пт</v>
      </c>
    </row>
    <row r="594" spans="1:4">
      <c r="A594" s="87" t="s">
        <v>606</v>
      </c>
      <c r="B594" s="88" t="s">
        <v>17</v>
      </c>
      <c r="C594" s="88">
        <v>40</v>
      </c>
      <c r="D594" s="89" t="str">
        <f t="shared" si="9"/>
        <v>Пт</v>
      </c>
    </row>
    <row r="595" spans="1:4">
      <c r="A595" s="87" t="s">
        <v>607</v>
      </c>
      <c r="B595" s="88" t="s">
        <v>19</v>
      </c>
      <c r="C595" s="88">
        <v>337</v>
      </c>
      <c r="D595" s="89" t="str">
        <f t="shared" si="9"/>
        <v>Пт</v>
      </c>
    </row>
    <row r="596" spans="1:4">
      <c r="A596" s="87" t="s">
        <v>608</v>
      </c>
      <c r="B596" s="88" t="s">
        <v>21</v>
      </c>
      <c r="C596" s="88">
        <v>446</v>
      </c>
      <c r="D596" s="89" t="str">
        <f t="shared" si="9"/>
        <v>Пт</v>
      </c>
    </row>
    <row r="597" spans="1:4">
      <c r="A597" s="87" t="s">
        <v>609</v>
      </c>
      <c r="B597" s="88" t="s">
        <v>23</v>
      </c>
      <c r="C597" s="88">
        <v>8</v>
      </c>
      <c r="D597" s="89" t="str">
        <f t="shared" si="9"/>
        <v>Пт</v>
      </c>
    </row>
    <row r="598" spans="1:4">
      <c r="A598" s="87" t="s">
        <v>610</v>
      </c>
      <c r="B598" s="88" t="s">
        <v>5</v>
      </c>
      <c r="C598" s="88">
        <v>350</v>
      </c>
      <c r="D598" s="89" t="str">
        <f t="shared" si="9"/>
        <v>Пт</v>
      </c>
    </row>
    <row r="599" spans="1:4">
      <c r="A599" s="87" t="s">
        <v>611</v>
      </c>
      <c r="B599" s="88" t="s">
        <v>7</v>
      </c>
      <c r="C599" s="88">
        <v>455</v>
      </c>
      <c r="D599" s="89" t="str">
        <f t="shared" si="9"/>
        <v>Пт</v>
      </c>
    </row>
    <row r="600" spans="1:4">
      <c r="A600" s="87" t="s">
        <v>612</v>
      </c>
      <c r="B600" s="88" t="s">
        <v>9</v>
      </c>
      <c r="C600" s="88">
        <v>479</v>
      </c>
      <c r="D600" s="89" t="str">
        <f t="shared" si="9"/>
        <v>Пт</v>
      </c>
    </row>
    <row r="601" ht="15.15" spans="1:4">
      <c r="A601" s="90" t="s">
        <v>613</v>
      </c>
      <c r="B601" s="91" t="s">
        <v>11</v>
      </c>
      <c r="C601" s="91">
        <v>428</v>
      </c>
      <c r="D601" s="92" t="str">
        <f t="shared" si="9"/>
        <v>Пт</v>
      </c>
    </row>
    <row r="602" hidden="1" spans="1:4">
      <c r="A602" s="118" t="s">
        <v>614</v>
      </c>
      <c r="B602" s="119" t="s">
        <v>13</v>
      </c>
      <c r="C602" s="119">
        <v>489</v>
      </c>
      <c r="D602" s="120" t="str">
        <f t="shared" si="9"/>
        <v>Сб</v>
      </c>
    </row>
    <row r="603" hidden="1" spans="1:4">
      <c r="A603" s="121" t="s">
        <v>615</v>
      </c>
      <c r="B603" s="88" t="s">
        <v>15</v>
      </c>
      <c r="C603" s="88">
        <v>373</v>
      </c>
      <c r="D603" s="115" t="str">
        <f t="shared" si="9"/>
        <v>Сб</v>
      </c>
    </row>
    <row r="604" hidden="1" spans="1:4">
      <c r="A604" s="121" t="s">
        <v>616</v>
      </c>
      <c r="B604" s="88" t="s">
        <v>17</v>
      </c>
      <c r="C604" s="88">
        <v>648</v>
      </c>
      <c r="D604" s="115" t="str">
        <f t="shared" si="9"/>
        <v>Сб</v>
      </c>
    </row>
    <row r="605" hidden="1" spans="1:4">
      <c r="A605" s="121" t="s">
        <v>617</v>
      </c>
      <c r="B605" s="88" t="s">
        <v>19</v>
      </c>
      <c r="C605" s="88">
        <v>135</v>
      </c>
      <c r="D605" s="115" t="str">
        <f t="shared" si="9"/>
        <v>Сб</v>
      </c>
    </row>
    <row r="606" hidden="1" spans="1:4">
      <c r="A606" s="121" t="s">
        <v>618</v>
      </c>
      <c r="B606" s="88" t="s">
        <v>21</v>
      </c>
      <c r="C606" s="88">
        <v>564</v>
      </c>
      <c r="D606" s="115" t="str">
        <f t="shared" si="9"/>
        <v>Сб</v>
      </c>
    </row>
    <row r="607" hidden="1" spans="1:4">
      <c r="A607" s="121" t="s">
        <v>619</v>
      </c>
      <c r="B607" s="88" t="s">
        <v>23</v>
      </c>
      <c r="C607" s="88">
        <v>454</v>
      </c>
      <c r="D607" s="115" t="str">
        <f t="shared" si="9"/>
        <v>Сб</v>
      </c>
    </row>
    <row r="608" hidden="1" spans="1:4">
      <c r="A608" s="121" t="s">
        <v>620</v>
      </c>
      <c r="B608" s="88" t="s">
        <v>5</v>
      </c>
      <c r="C608" s="88">
        <v>286</v>
      </c>
      <c r="D608" s="115" t="str">
        <f t="shared" si="9"/>
        <v>Сб</v>
      </c>
    </row>
    <row r="609" hidden="1" spans="1:4">
      <c r="A609" s="121" t="s">
        <v>621</v>
      </c>
      <c r="B609" s="88" t="s">
        <v>7</v>
      </c>
      <c r="C609" s="88">
        <v>521</v>
      </c>
      <c r="D609" s="115" t="str">
        <f t="shared" si="9"/>
        <v>Сб</v>
      </c>
    </row>
    <row r="610" hidden="1" spans="1:4">
      <c r="A610" s="121" t="s">
        <v>622</v>
      </c>
      <c r="B610" s="88" t="s">
        <v>9</v>
      </c>
      <c r="C610" s="88">
        <v>551</v>
      </c>
      <c r="D610" s="115" t="str">
        <f t="shared" si="9"/>
        <v>Сб</v>
      </c>
    </row>
    <row r="611" hidden="1" spans="1:4">
      <c r="A611" s="121" t="s">
        <v>623</v>
      </c>
      <c r="B611" s="88" t="s">
        <v>11</v>
      </c>
      <c r="C611" s="88">
        <v>66</v>
      </c>
      <c r="D611" s="115" t="str">
        <f t="shared" si="9"/>
        <v>Сб</v>
      </c>
    </row>
    <row r="612" hidden="1" spans="1:4">
      <c r="A612" s="121" t="s">
        <v>624</v>
      </c>
      <c r="B612" s="88" t="s">
        <v>13</v>
      </c>
      <c r="C612" s="88">
        <v>467</v>
      </c>
      <c r="D612" s="115" t="str">
        <f t="shared" si="9"/>
        <v>Сб</v>
      </c>
    </row>
    <row r="613" hidden="1" spans="1:4">
      <c r="A613" s="121" t="s">
        <v>625</v>
      </c>
      <c r="B613" s="88" t="s">
        <v>15</v>
      </c>
      <c r="C613" s="88">
        <v>320</v>
      </c>
      <c r="D613" s="115" t="str">
        <f t="shared" si="9"/>
        <v>Сб</v>
      </c>
    </row>
    <row r="614" hidden="1" spans="1:4">
      <c r="A614" s="121" t="s">
        <v>626</v>
      </c>
      <c r="B614" s="88" t="s">
        <v>17</v>
      </c>
      <c r="C614" s="88">
        <v>44</v>
      </c>
      <c r="D614" s="115" t="str">
        <f t="shared" si="9"/>
        <v>Сб</v>
      </c>
    </row>
    <row r="615" hidden="1" spans="1:4">
      <c r="A615" s="121" t="s">
        <v>627</v>
      </c>
      <c r="B615" s="88" t="s">
        <v>19</v>
      </c>
      <c r="C615" s="88">
        <v>172</v>
      </c>
      <c r="D615" s="115" t="str">
        <f t="shared" si="9"/>
        <v>Сб</v>
      </c>
    </row>
    <row r="616" hidden="1" spans="1:4">
      <c r="A616" s="121" t="s">
        <v>628</v>
      </c>
      <c r="B616" s="88" t="s">
        <v>21</v>
      </c>
      <c r="C616" s="88">
        <v>54</v>
      </c>
      <c r="D616" s="115" t="str">
        <f t="shared" si="9"/>
        <v>Сб</v>
      </c>
    </row>
    <row r="617" hidden="1" spans="1:4">
      <c r="A617" s="121" t="s">
        <v>629</v>
      </c>
      <c r="B617" s="88" t="s">
        <v>23</v>
      </c>
      <c r="C617" s="88">
        <v>383</v>
      </c>
      <c r="D617" s="115" t="str">
        <f t="shared" si="9"/>
        <v>Сб</v>
      </c>
    </row>
    <row r="618" hidden="1" spans="1:4">
      <c r="A618" s="121" t="s">
        <v>630</v>
      </c>
      <c r="B618" s="88" t="s">
        <v>5</v>
      </c>
      <c r="C618" s="88">
        <v>381</v>
      </c>
      <c r="D618" s="115" t="str">
        <f t="shared" si="9"/>
        <v>Сб</v>
      </c>
    </row>
    <row r="619" hidden="1" spans="1:4">
      <c r="A619" s="121" t="s">
        <v>631</v>
      </c>
      <c r="B619" s="88" t="s">
        <v>7</v>
      </c>
      <c r="C619" s="88">
        <v>351</v>
      </c>
      <c r="D619" s="115" t="str">
        <f t="shared" si="9"/>
        <v>Сб</v>
      </c>
    </row>
    <row r="620" hidden="1" spans="1:4">
      <c r="A620" s="121" t="s">
        <v>632</v>
      </c>
      <c r="B620" s="88" t="s">
        <v>9</v>
      </c>
      <c r="C620" s="88">
        <v>165</v>
      </c>
      <c r="D620" s="115" t="str">
        <f t="shared" si="9"/>
        <v>Сб</v>
      </c>
    </row>
    <row r="621" hidden="1" spans="1:4">
      <c r="A621" s="121" t="s">
        <v>633</v>
      </c>
      <c r="B621" s="88" t="s">
        <v>11</v>
      </c>
      <c r="C621" s="88">
        <v>272</v>
      </c>
      <c r="D621" s="115" t="str">
        <f t="shared" si="9"/>
        <v>Сб</v>
      </c>
    </row>
    <row r="622" hidden="1" spans="1:4">
      <c r="A622" s="121" t="s">
        <v>634</v>
      </c>
      <c r="B622" s="88" t="s">
        <v>13</v>
      </c>
      <c r="C622" s="88">
        <v>445</v>
      </c>
      <c r="D622" s="115" t="str">
        <f t="shared" si="9"/>
        <v>Сб</v>
      </c>
    </row>
    <row r="623" hidden="1" spans="1:4">
      <c r="A623" s="121" t="s">
        <v>635</v>
      </c>
      <c r="B623" s="88" t="s">
        <v>15</v>
      </c>
      <c r="C623" s="88">
        <v>338</v>
      </c>
      <c r="D623" s="115" t="str">
        <f t="shared" si="9"/>
        <v>Сб</v>
      </c>
    </row>
    <row r="624" hidden="1" spans="1:4">
      <c r="A624" s="121" t="s">
        <v>636</v>
      </c>
      <c r="B624" s="88" t="s">
        <v>17</v>
      </c>
      <c r="C624" s="88">
        <v>140</v>
      </c>
      <c r="D624" s="115" t="str">
        <f t="shared" si="9"/>
        <v>Сб</v>
      </c>
    </row>
    <row r="625" hidden="1" spans="1:4">
      <c r="A625" s="121" t="s">
        <v>637</v>
      </c>
      <c r="B625" s="88" t="s">
        <v>19</v>
      </c>
      <c r="C625" s="88">
        <v>623</v>
      </c>
      <c r="D625" s="115" t="str">
        <f t="shared" si="9"/>
        <v>Сб</v>
      </c>
    </row>
    <row r="626" hidden="1" spans="1:4">
      <c r="A626" s="121" t="s">
        <v>638</v>
      </c>
      <c r="B626" s="88" t="s">
        <v>21</v>
      </c>
      <c r="C626" s="88">
        <v>269</v>
      </c>
      <c r="D626" s="115" t="str">
        <f t="shared" si="9"/>
        <v>Вс</v>
      </c>
    </row>
    <row r="627" hidden="1" spans="1:4">
      <c r="A627" s="121" t="s">
        <v>639</v>
      </c>
      <c r="B627" s="88" t="s">
        <v>23</v>
      </c>
      <c r="C627" s="88">
        <v>546</v>
      </c>
      <c r="D627" s="115" t="str">
        <f t="shared" si="9"/>
        <v>Вс</v>
      </c>
    </row>
    <row r="628" hidden="1" spans="1:4">
      <c r="A628" s="121" t="s">
        <v>640</v>
      </c>
      <c r="B628" s="88" t="s">
        <v>5</v>
      </c>
      <c r="C628" s="88">
        <v>318</v>
      </c>
      <c r="D628" s="115" t="str">
        <f t="shared" si="9"/>
        <v>Вс</v>
      </c>
    </row>
    <row r="629" hidden="1" spans="1:4">
      <c r="A629" s="121" t="s">
        <v>641</v>
      </c>
      <c r="B629" s="88" t="s">
        <v>7</v>
      </c>
      <c r="C629" s="88">
        <v>397</v>
      </c>
      <c r="D629" s="115" t="str">
        <f t="shared" si="9"/>
        <v>Вс</v>
      </c>
    </row>
    <row r="630" hidden="1" spans="1:4">
      <c r="A630" s="121" t="s">
        <v>642</v>
      </c>
      <c r="B630" s="88" t="s">
        <v>9</v>
      </c>
      <c r="C630" s="88">
        <v>241</v>
      </c>
      <c r="D630" s="115" t="str">
        <f t="shared" si="9"/>
        <v>Вс</v>
      </c>
    </row>
    <row r="631" hidden="1" spans="1:4">
      <c r="A631" s="121" t="s">
        <v>643</v>
      </c>
      <c r="B631" s="88" t="s">
        <v>11</v>
      </c>
      <c r="C631" s="88">
        <v>636</v>
      </c>
      <c r="D631" s="115" t="str">
        <f t="shared" si="9"/>
        <v>Вс</v>
      </c>
    </row>
    <row r="632" hidden="1" spans="1:4">
      <c r="A632" s="121" t="s">
        <v>644</v>
      </c>
      <c r="B632" s="88" t="s">
        <v>13</v>
      </c>
      <c r="C632" s="88">
        <v>156</v>
      </c>
      <c r="D632" s="115" t="str">
        <f t="shared" si="9"/>
        <v>Вс</v>
      </c>
    </row>
    <row r="633" hidden="1" spans="1:4">
      <c r="A633" s="121" t="s">
        <v>645</v>
      </c>
      <c r="B633" s="88" t="s">
        <v>15</v>
      </c>
      <c r="C633" s="88">
        <v>327</v>
      </c>
      <c r="D633" s="115" t="str">
        <f t="shared" si="9"/>
        <v>Вс</v>
      </c>
    </row>
    <row r="634" hidden="1" spans="1:4">
      <c r="A634" s="121" t="s">
        <v>646</v>
      </c>
      <c r="B634" s="88" t="s">
        <v>17</v>
      </c>
      <c r="C634" s="88">
        <v>39</v>
      </c>
      <c r="D634" s="115" t="str">
        <f t="shared" si="9"/>
        <v>Вс</v>
      </c>
    </row>
    <row r="635" hidden="1" spans="1:4">
      <c r="A635" s="121" t="s">
        <v>647</v>
      </c>
      <c r="B635" s="88" t="s">
        <v>19</v>
      </c>
      <c r="C635" s="88">
        <v>485</v>
      </c>
      <c r="D635" s="115" t="str">
        <f t="shared" si="9"/>
        <v>Вс</v>
      </c>
    </row>
    <row r="636" hidden="1" spans="1:4">
      <c r="A636" s="121" t="s">
        <v>648</v>
      </c>
      <c r="B636" s="88" t="s">
        <v>21</v>
      </c>
      <c r="C636" s="88">
        <v>134</v>
      </c>
      <c r="D636" s="115" t="str">
        <f t="shared" si="9"/>
        <v>Вс</v>
      </c>
    </row>
    <row r="637" hidden="1" spans="1:4">
      <c r="A637" s="121" t="s">
        <v>649</v>
      </c>
      <c r="B637" s="88" t="s">
        <v>23</v>
      </c>
      <c r="C637" s="88">
        <v>82</v>
      </c>
      <c r="D637" s="115" t="str">
        <f t="shared" si="9"/>
        <v>Вс</v>
      </c>
    </row>
    <row r="638" hidden="1" spans="1:4">
      <c r="A638" s="121" t="s">
        <v>650</v>
      </c>
      <c r="B638" s="88" t="s">
        <v>5</v>
      </c>
      <c r="C638" s="88">
        <v>57</v>
      </c>
      <c r="D638" s="115" t="str">
        <f t="shared" si="9"/>
        <v>Вс</v>
      </c>
    </row>
    <row r="639" hidden="1" spans="1:4">
      <c r="A639" s="121" t="s">
        <v>651</v>
      </c>
      <c r="B639" s="88" t="s">
        <v>7</v>
      </c>
      <c r="C639" s="88">
        <v>283</v>
      </c>
      <c r="D639" s="115" t="str">
        <f t="shared" si="9"/>
        <v>Вс</v>
      </c>
    </row>
    <row r="640" hidden="1" spans="1:4">
      <c r="A640" s="121" t="s">
        <v>652</v>
      </c>
      <c r="B640" s="88" t="s">
        <v>9</v>
      </c>
      <c r="C640" s="88">
        <v>346</v>
      </c>
      <c r="D640" s="115" t="str">
        <f t="shared" si="9"/>
        <v>Вс</v>
      </c>
    </row>
    <row r="641" hidden="1" spans="1:4">
      <c r="A641" s="121" t="s">
        <v>653</v>
      </c>
      <c r="B641" s="88" t="s">
        <v>11</v>
      </c>
      <c r="C641" s="88">
        <v>87</v>
      </c>
      <c r="D641" s="115" t="str">
        <f t="shared" si="9"/>
        <v>Вс</v>
      </c>
    </row>
    <row r="642" hidden="1" spans="1:4">
      <c r="A642" s="121" t="s">
        <v>654</v>
      </c>
      <c r="B642" s="88" t="s">
        <v>13</v>
      </c>
      <c r="C642" s="88">
        <v>612</v>
      </c>
      <c r="D642" s="115" t="str">
        <f t="shared" ref="D642:D705" si="10">CHOOSE(WEEKDAY(DATE(VALUE(LEFT(A642,4)),VALUE(MID(A642,6,2)),VALUE(MID(A642,9,2))),2),"Пн","Вт","Ср","Чт","Пт","Сб","Вс")</f>
        <v>Вс</v>
      </c>
    </row>
    <row r="643" hidden="1" spans="1:4">
      <c r="A643" s="121" t="s">
        <v>655</v>
      </c>
      <c r="B643" s="88" t="s">
        <v>15</v>
      </c>
      <c r="C643" s="88">
        <v>35</v>
      </c>
      <c r="D643" s="115" t="str">
        <f t="shared" si="10"/>
        <v>Вс</v>
      </c>
    </row>
    <row r="644" hidden="1" spans="1:4">
      <c r="A644" s="121" t="s">
        <v>656</v>
      </c>
      <c r="B644" s="88" t="s">
        <v>17</v>
      </c>
      <c r="C644" s="88">
        <v>342</v>
      </c>
      <c r="D644" s="115" t="str">
        <f t="shared" si="10"/>
        <v>Вс</v>
      </c>
    </row>
    <row r="645" hidden="1" spans="1:4">
      <c r="A645" s="121" t="s">
        <v>657</v>
      </c>
      <c r="B645" s="88" t="s">
        <v>19</v>
      </c>
      <c r="C645" s="88">
        <v>232</v>
      </c>
      <c r="D645" s="115" t="str">
        <f t="shared" si="10"/>
        <v>Вс</v>
      </c>
    </row>
    <row r="646" hidden="1" spans="1:4">
      <c r="A646" s="121" t="s">
        <v>658</v>
      </c>
      <c r="B646" s="88" t="s">
        <v>21</v>
      </c>
      <c r="C646" s="88">
        <v>261</v>
      </c>
      <c r="D646" s="115" t="str">
        <f t="shared" si="10"/>
        <v>Вс</v>
      </c>
    </row>
    <row r="647" hidden="1" spans="1:4">
      <c r="A647" s="121" t="s">
        <v>659</v>
      </c>
      <c r="B647" s="88" t="s">
        <v>23</v>
      </c>
      <c r="C647" s="88">
        <v>306</v>
      </c>
      <c r="D647" s="115" t="str">
        <f t="shared" si="10"/>
        <v>Вс</v>
      </c>
    </row>
    <row r="648" hidden="1" spans="1:4">
      <c r="A648" s="121" t="s">
        <v>660</v>
      </c>
      <c r="B648" s="88" t="s">
        <v>5</v>
      </c>
      <c r="C648" s="88">
        <v>119</v>
      </c>
      <c r="D648" s="115" t="str">
        <f t="shared" si="10"/>
        <v>Вс</v>
      </c>
    </row>
    <row r="649" ht="15.15" hidden="1" spans="1:4">
      <c r="A649" s="122" t="s">
        <v>661</v>
      </c>
      <c r="B649" s="123" t="s">
        <v>7</v>
      </c>
      <c r="C649" s="123">
        <v>43</v>
      </c>
      <c r="D649" s="124" t="str">
        <f t="shared" si="10"/>
        <v>Вс</v>
      </c>
    </row>
    <row r="650" spans="1:4">
      <c r="A650" s="84" t="s">
        <v>662</v>
      </c>
      <c r="B650" s="85" t="s">
        <v>9</v>
      </c>
      <c r="C650" s="85">
        <v>464</v>
      </c>
      <c r="D650" s="86" t="str">
        <f t="shared" si="10"/>
        <v>Пн</v>
      </c>
    </row>
    <row r="651" spans="1:4">
      <c r="A651" s="87" t="s">
        <v>663</v>
      </c>
      <c r="B651" s="88" t="s">
        <v>11</v>
      </c>
      <c r="C651" s="88">
        <v>391</v>
      </c>
      <c r="D651" s="89" t="str">
        <f t="shared" si="10"/>
        <v>Пн</v>
      </c>
    </row>
    <row r="652" spans="1:4">
      <c r="A652" s="87" t="s">
        <v>664</v>
      </c>
      <c r="B652" s="88" t="s">
        <v>13</v>
      </c>
      <c r="C652" s="88">
        <v>14</v>
      </c>
      <c r="D652" s="89" t="str">
        <f t="shared" si="10"/>
        <v>Пн</v>
      </c>
    </row>
    <row r="653" spans="1:4">
      <c r="A653" s="87" t="s">
        <v>665</v>
      </c>
      <c r="B653" s="88" t="s">
        <v>15</v>
      </c>
      <c r="C653" s="88">
        <v>600</v>
      </c>
      <c r="D653" s="89" t="str">
        <f t="shared" si="10"/>
        <v>Пн</v>
      </c>
    </row>
    <row r="654" spans="1:4">
      <c r="A654" s="87" t="s">
        <v>666</v>
      </c>
      <c r="B654" s="88" t="s">
        <v>17</v>
      </c>
      <c r="C654" s="88">
        <v>52</v>
      </c>
      <c r="D654" s="89" t="str">
        <f t="shared" si="10"/>
        <v>Пн</v>
      </c>
    </row>
    <row r="655" spans="1:4">
      <c r="A655" s="87" t="s">
        <v>667</v>
      </c>
      <c r="B655" s="88" t="s">
        <v>19</v>
      </c>
      <c r="C655" s="88">
        <v>559</v>
      </c>
      <c r="D655" s="89" t="str">
        <f t="shared" si="10"/>
        <v>Пн</v>
      </c>
    </row>
    <row r="656" spans="1:4">
      <c r="A656" s="87" t="s">
        <v>668</v>
      </c>
      <c r="B656" s="88" t="s">
        <v>21</v>
      </c>
      <c r="C656" s="88">
        <v>607</v>
      </c>
      <c r="D656" s="89" t="str">
        <f t="shared" si="10"/>
        <v>Пн</v>
      </c>
    </row>
    <row r="657" spans="1:4">
      <c r="A657" s="87" t="s">
        <v>669</v>
      </c>
      <c r="B657" s="88" t="s">
        <v>23</v>
      </c>
      <c r="C657" s="88">
        <v>424</v>
      </c>
      <c r="D657" s="89" t="str">
        <f t="shared" si="10"/>
        <v>Пн</v>
      </c>
    </row>
    <row r="658" spans="1:4">
      <c r="A658" s="87" t="s">
        <v>670</v>
      </c>
      <c r="B658" s="88" t="s">
        <v>5</v>
      </c>
      <c r="C658" s="88">
        <v>625</v>
      </c>
      <c r="D658" s="89" t="str">
        <f t="shared" si="10"/>
        <v>Пн</v>
      </c>
    </row>
    <row r="659" spans="1:4">
      <c r="A659" s="87" t="s">
        <v>671</v>
      </c>
      <c r="B659" s="88" t="s">
        <v>7</v>
      </c>
      <c r="C659" s="88">
        <v>38</v>
      </c>
      <c r="D659" s="89" t="str">
        <f t="shared" si="10"/>
        <v>Пн</v>
      </c>
    </row>
    <row r="660" spans="1:4">
      <c r="A660" s="87" t="s">
        <v>672</v>
      </c>
      <c r="B660" s="88" t="s">
        <v>9</v>
      </c>
      <c r="C660" s="88">
        <v>310</v>
      </c>
      <c r="D660" s="89" t="str">
        <f t="shared" si="10"/>
        <v>Пн</v>
      </c>
    </row>
    <row r="661" spans="1:4">
      <c r="A661" s="87" t="s">
        <v>673</v>
      </c>
      <c r="B661" s="88" t="s">
        <v>11</v>
      </c>
      <c r="C661" s="88">
        <v>335</v>
      </c>
      <c r="D661" s="89" t="str">
        <f t="shared" si="10"/>
        <v>Пн</v>
      </c>
    </row>
    <row r="662" spans="1:4">
      <c r="A662" s="87" t="s">
        <v>674</v>
      </c>
      <c r="B662" s="88" t="s">
        <v>13</v>
      </c>
      <c r="C662" s="88">
        <v>313</v>
      </c>
      <c r="D662" s="89" t="str">
        <f t="shared" si="10"/>
        <v>Пн</v>
      </c>
    </row>
    <row r="663" spans="1:4">
      <c r="A663" s="87" t="s">
        <v>675</v>
      </c>
      <c r="B663" s="88" t="s">
        <v>15</v>
      </c>
      <c r="C663" s="88">
        <v>78</v>
      </c>
      <c r="D663" s="89" t="str">
        <f t="shared" si="10"/>
        <v>Пн</v>
      </c>
    </row>
    <row r="664" spans="1:4">
      <c r="A664" s="87" t="s">
        <v>676</v>
      </c>
      <c r="B664" s="88" t="s">
        <v>17</v>
      </c>
      <c r="C664" s="88">
        <v>151</v>
      </c>
      <c r="D664" s="89" t="str">
        <f t="shared" si="10"/>
        <v>Пн</v>
      </c>
    </row>
    <row r="665" spans="1:4">
      <c r="A665" s="87" t="s">
        <v>677</v>
      </c>
      <c r="B665" s="88" t="s">
        <v>19</v>
      </c>
      <c r="C665" s="88">
        <v>461</v>
      </c>
      <c r="D665" s="89" t="str">
        <f t="shared" si="10"/>
        <v>Пн</v>
      </c>
    </row>
    <row r="666" spans="1:4">
      <c r="A666" s="87" t="s">
        <v>678</v>
      </c>
      <c r="B666" s="88" t="s">
        <v>21</v>
      </c>
      <c r="C666" s="88">
        <v>255</v>
      </c>
      <c r="D666" s="89" t="str">
        <f t="shared" si="10"/>
        <v>Пн</v>
      </c>
    </row>
    <row r="667" spans="1:4">
      <c r="A667" s="87" t="s">
        <v>679</v>
      </c>
      <c r="B667" s="88" t="s">
        <v>23</v>
      </c>
      <c r="C667" s="88">
        <v>411</v>
      </c>
      <c r="D667" s="89" t="str">
        <f t="shared" si="10"/>
        <v>Пн</v>
      </c>
    </row>
    <row r="668" spans="1:4">
      <c r="A668" s="87" t="s">
        <v>680</v>
      </c>
      <c r="B668" s="88" t="s">
        <v>5</v>
      </c>
      <c r="C668" s="88">
        <v>202</v>
      </c>
      <c r="D668" s="89" t="str">
        <f t="shared" si="10"/>
        <v>Пн</v>
      </c>
    </row>
    <row r="669" spans="1:4">
      <c r="A669" s="87" t="s">
        <v>681</v>
      </c>
      <c r="B669" s="88" t="s">
        <v>7</v>
      </c>
      <c r="C669" s="88">
        <v>571</v>
      </c>
      <c r="D669" s="89" t="str">
        <f t="shared" si="10"/>
        <v>Пн</v>
      </c>
    </row>
    <row r="670" spans="1:4">
      <c r="A670" s="87" t="s">
        <v>682</v>
      </c>
      <c r="B670" s="88" t="s">
        <v>9</v>
      </c>
      <c r="C670" s="88">
        <v>386</v>
      </c>
      <c r="D670" s="89" t="str">
        <f t="shared" si="10"/>
        <v>Пн</v>
      </c>
    </row>
    <row r="671" spans="1:4">
      <c r="A671" s="87" t="s">
        <v>683</v>
      </c>
      <c r="B671" s="88" t="s">
        <v>11</v>
      </c>
      <c r="C671" s="88">
        <v>353</v>
      </c>
      <c r="D671" s="89" t="str">
        <f t="shared" si="10"/>
        <v>Пн</v>
      </c>
    </row>
    <row r="672" spans="1:4">
      <c r="A672" s="87" t="s">
        <v>684</v>
      </c>
      <c r="B672" s="88" t="s">
        <v>13</v>
      </c>
      <c r="C672" s="88">
        <v>650</v>
      </c>
      <c r="D672" s="89" t="str">
        <f t="shared" si="10"/>
        <v>Пн</v>
      </c>
    </row>
    <row r="673" spans="1:4">
      <c r="A673" s="87" t="s">
        <v>685</v>
      </c>
      <c r="B673" s="88" t="s">
        <v>15</v>
      </c>
      <c r="C673" s="88">
        <v>144</v>
      </c>
      <c r="D673" s="89" t="str">
        <f t="shared" si="10"/>
        <v>Пн</v>
      </c>
    </row>
    <row r="674" spans="1:4">
      <c r="A674" s="87" t="s">
        <v>686</v>
      </c>
      <c r="B674" s="88" t="s">
        <v>17</v>
      </c>
      <c r="C674" s="88">
        <v>267</v>
      </c>
      <c r="D674" s="89" t="str">
        <f t="shared" si="10"/>
        <v>Вт</v>
      </c>
    </row>
    <row r="675" spans="1:4">
      <c r="A675" s="87" t="s">
        <v>687</v>
      </c>
      <c r="B675" s="88" t="s">
        <v>19</v>
      </c>
      <c r="C675" s="88">
        <v>480</v>
      </c>
      <c r="D675" s="89" t="str">
        <f t="shared" si="10"/>
        <v>Вт</v>
      </c>
    </row>
    <row r="676" spans="1:4">
      <c r="A676" s="87" t="s">
        <v>688</v>
      </c>
      <c r="B676" s="88" t="s">
        <v>21</v>
      </c>
      <c r="C676" s="88">
        <v>141</v>
      </c>
      <c r="D676" s="89" t="str">
        <f t="shared" si="10"/>
        <v>Вт</v>
      </c>
    </row>
    <row r="677" spans="1:4">
      <c r="A677" s="87" t="s">
        <v>689</v>
      </c>
      <c r="B677" s="88" t="s">
        <v>23</v>
      </c>
      <c r="C677" s="88">
        <v>616</v>
      </c>
      <c r="D677" s="89" t="str">
        <f t="shared" si="10"/>
        <v>Вт</v>
      </c>
    </row>
    <row r="678" spans="1:4">
      <c r="A678" s="87" t="s">
        <v>690</v>
      </c>
      <c r="B678" s="88" t="s">
        <v>5</v>
      </c>
      <c r="C678" s="88">
        <v>432</v>
      </c>
      <c r="D678" s="89" t="str">
        <f t="shared" si="10"/>
        <v>Вт</v>
      </c>
    </row>
    <row r="679" spans="1:4">
      <c r="A679" s="87" t="s">
        <v>691</v>
      </c>
      <c r="B679" s="88" t="s">
        <v>7</v>
      </c>
      <c r="C679" s="88">
        <v>370</v>
      </c>
      <c r="D679" s="89" t="str">
        <f t="shared" si="10"/>
        <v>Вт</v>
      </c>
    </row>
    <row r="680" spans="1:4">
      <c r="A680" s="87" t="s">
        <v>692</v>
      </c>
      <c r="B680" s="88" t="s">
        <v>9</v>
      </c>
      <c r="C680" s="88">
        <v>305</v>
      </c>
      <c r="D680" s="89" t="str">
        <f t="shared" si="10"/>
        <v>Вт</v>
      </c>
    </row>
    <row r="681" spans="1:4">
      <c r="A681" s="87" t="s">
        <v>693</v>
      </c>
      <c r="B681" s="88" t="s">
        <v>11</v>
      </c>
      <c r="C681" s="88">
        <v>133</v>
      </c>
      <c r="D681" s="89" t="str">
        <f t="shared" si="10"/>
        <v>Вт</v>
      </c>
    </row>
    <row r="682" spans="1:4">
      <c r="A682" s="87" t="s">
        <v>694</v>
      </c>
      <c r="B682" s="88" t="s">
        <v>13</v>
      </c>
      <c r="C682" s="88">
        <v>253</v>
      </c>
      <c r="D682" s="89" t="str">
        <f t="shared" si="10"/>
        <v>Вт</v>
      </c>
    </row>
    <row r="683" spans="1:4">
      <c r="A683" s="87" t="s">
        <v>695</v>
      </c>
      <c r="B683" s="88" t="s">
        <v>15</v>
      </c>
      <c r="C683" s="88">
        <v>81</v>
      </c>
      <c r="D683" s="89" t="str">
        <f t="shared" si="10"/>
        <v>Вт</v>
      </c>
    </row>
    <row r="684" spans="1:4">
      <c r="A684" s="87" t="s">
        <v>696</v>
      </c>
      <c r="B684" s="88" t="s">
        <v>17</v>
      </c>
      <c r="C684" s="88">
        <v>586</v>
      </c>
      <c r="D684" s="89" t="str">
        <f t="shared" si="10"/>
        <v>Вт</v>
      </c>
    </row>
    <row r="685" spans="1:4">
      <c r="A685" s="87" t="s">
        <v>697</v>
      </c>
      <c r="B685" s="88" t="s">
        <v>19</v>
      </c>
      <c r="C685" s="88">
        <v>213</v>
      </c>
      <c r="D685" s="89" t="str">
        <f t="shared" si="10"/>
        <v>Вт</v>
      </c>
    </row>
    <row r="686" spans="1:4">
      <c r="A686" s="87" t="s">
        <v>698</v>
      </c>
      <c r="B686" s="88" t="s">
        <v>21</v>
      </c>
      <c r="C686" s="88">
        <v>323</v>
      </c>
      <c r="D686" s="89" t="str">
        <f t="shared" si="10"/>
        <v>Вт</v>
      </c>
    </row>
    <row r="687" spans="1:4">
      <c r="A687" s="87" t="s">
        <v>699</v>
      </c>
      <c r="B687" s="88" t="s">
        <v>23</v>
      </c>
      <c r="C687" s="88">
        <v>328</v>
      </c>
      <c r="D687" s="89" t="str">
        <f t="shared" si="10"/>
        <v>Вт</v>
      </c>
    </row>
    <row r="688" spans="1:4">
      <c r="A688" s="87" t="s">
        <v>700</v>
      </c>
      <c r="B688" s="88" t="s">
        <v>5</v>
      </c>
      <c r="C688" s="88">
        <v>107</v>
      </c>
      <c r="D688" s="89" t="str">
        <f t="shared" si="10"/>
        <v>Вт</v>
      </c>
    </row>
    <row r="689" spans="1:4">
      <c r="A689" s="87" t="s">
        <v>701</v>
      </c>
      <c r="B689" s="88" t="s">
        <v>7</v>
      </c>
      <c r="C689" s="88">
        <v>294</v>
      </c>
      <c r="D689" s="89" t="str">
        <f t="shared" si="10"/>
        <v>Вт</v>
      </c>
    </row>
    <row r="690" spans="1:4">
      <c r="A690" s="87" t="s">
        <v>702</v>
      </c>
      <c r="B690" s="88" t="s">
        <v>9</v>
      </c>
      <c r="C690" s="88">
        <v>83</v>
      </c>
      <c r="D690" s="89" t="str">
        <f t="shared" si="10"/>
        <v>Вт</v>
      </c>
    </row>
    <row r="691" spans="1:4">
      <c r="A691" s="87" t="s">
        <v>703</v>
      </c>
      <c r="B691" s="88" t="s">
        <v>11</v>
      </c>
      <c r="C691" s="88">
        <v>132</v>
      </c>
      <c r="D691" s="89" t="str">
        <f t="shared" si="10"/>
        <v>Вт</v>
      </c>
    </row>
    <row r="692" spans="1:4">
      <c r="A692" s="87" t="s">
        <v>704</v>
      </c>
      <c r="B692" s="88" t="s">
        <v>13</v>
      </c>
      <c r="C692" s="88">
        <v>490</v>
      </c>
      <c r="D692" s="89" t="str">
        <f t="shared" si="10"/>
        <v>Вт</v>
      </c>
    </row>
    <row r="693" spans="1:4">
      <c r="A693" s="87" t="s">
        <v>705</v>
      </c>
      <c r="B693" s="88" t="s">
        <v>15</v>
      </c>
      <c r="C693" s="88">
        <v>324</v>
      </c>
      <c r="D693" s="89" t="str">
        <f t="shared" si="10"/>
        <v>Вт</v>
      </c>
    </row>
    <row r="694" spans="1:4">
      <c r="A694" s="87" t="s">
        <v>706</v>
      </c>
      <c r="B694" s="88" t="s">
        <v>17</v>
      </c>
      <c r="C694" s="88">
        <v>509</v>
      </c>
      <c r="D694" s="89" t="str">
        <f t="shared" si="10"/>
        <v>Вт</v>
      </c>
    </row>
    <row r="695" spans="1:4">
      <c r="A695" s="87" t="s">
        <v>707</v>
      </c>
      <c r="B695" s="88" t="s">
        <v>19</v>
      </c>
      <c r="C695" s="88">
        <v>70</v>
      </c>
      <c r="D695" s="89" t="str">
        <f t="shared" si="10"/>
        <v>Вт</v>
      </c>
    </row>
    <row r="696" spans="1:4">
      <c r="A696" s="87" t="s">
        <v>708</v>
      </c>
      <c r="B696" s="88" t="s">
        <v>21</v>
      </c>
      <c r="C696" s="88">
        <v>10</v>
      </c>
      <c r="D696" s="89" t="str">
        <f t="shared" si="10"/>
        <v>Вт</v>
      </c>
    </row>
    <row r="697" spans="1:4">
      <c r="A697" s="87" t="s">
        <v>709</v>
      </c>
      <c r="B697" s="88" t="s">
        <v>23</v>
      </c>
      <c r="C697" s="88">
        <v>548</v>
      </c>
      <c r="D697" s="89" t="str">
        <f t="shared" si="10"/>
        <v>Вт</v>
      </c>
    </row>
    <row r="698" spans="1:4">
      <c r="A698" s="87" t="s">
        <v>710</v>
      </c>
      <c r="B698" s="88" t="s">
        <v>5</v>
      </c>
      <c r="C698" s="88">
        <v>306</v>
      </c>
      <c r="D698" s="89" t="str">
        <f t="shared" si="10"/>
        <v>Ср</v>
      </c>
    </row>
    <row r="699" spans="1:4">
      <c r="A699" s="87" t="s">
        <v>711</v>
      </c>
      <c r="B699" s="88" t="s">
        <v>7</v>
      </c>
      <c r="C699" s="88">
        <v>119</v>
      </c>
      <c r="D699" s="89" t="str">
        <f t="shared" si="10"/>
        <v>Ср</v>
      </c>
    </row>
    <row r="700" spans="1:4">
      <c r="A700" s="87" t="s">
        <v>712</v>
      </c>
      <c r="B700" s="88" t="s">
        <v>9</v>
      </c>
      <c r="C700" s="88">
        <v>43</v>
      </c>
      <c r="D700" s="89" t="str">
        <f t="shared" si="10"/>
        <v>Ср</v>
      </c>
    </row>
    <row r="701" spans="1:4">
      <c r="A701" s="87" t="s">
        <v>713</v>
      </c>
      <c r="B701" s="88" t="s">
        <v>11</v>
      </c>
      <c r="C701" s="88">
        <v>464</v>
      </c>
      <c r="D701" s="89" t="str">
        <f t="shared" si="10"/>
        <v>Ср</v>
      </c>
    </row>
    <row r="702" spans="1:4">
      <c r="A702" s="87" t="s">
        <v>714</v>
      </c>
      <c r="B702" s="88" t="s">
        <v>13</v>
      </c>
      <c r="C702" s="88">
        <v>391</v>
      </c>
      <c r="D702" s="89" t="str">
        <f t="shared" si="10"/>
        <v>Ср</v>
      </c>
    </row>
    <row r="703" spans="1:4">
      <c r="A703" s="87" t="s">
        <v>715</v>
      </c>
      <c r="B703" s="88" t="s">
        <v>15</v>
      </c>
      <c r="C703" s="88">
        <v>14</v>
      </c>
      <c r="D703" s="89" t="str">
        <f t="shared" si="10"/>
        <v>Ср</v>
      </c>
    </row>
    <row r="704" spans="1:4">
      <c r="A704" s="87" t="s">
        <v>716</v>
      </c>
      <c r="B704" s="88" t="s">
        <v>17</v>
      </c>
      <c r="C704" s="88">
        <v>600</v>
      </c>
      <c r="D704" s="89" t="str">
        <f t="shared" si="10"/>
        <v>Ср</v>
      </c>
    </row>
    <row r="705" spans="1:4">
      <c r="A705" s="87" t="s">
        <v>717</v>
      </c>
      <c r="B705" s="88" t="s">
        <v>19</v>
      </c>
      <c r="C705" s="88">
        <v>52</v>
      </c>
      <c r="D705" s="89" t="str">
        <f t="shared" si="10"/>
        <v>Ср</v>
      </c>
    </row>
    <row r="706" spans="1:4">
      <c r="A706" s="87" t="s">
        <v>718</v>
      </c>
      <c r="B706" s="88" t="s">
        <v>21</v>
      </c>
      <c r="C706" s="88">
        <v>559</v>
      </c>
      <c r="D706" s="89" t="str">
        <f t="shared" ref="D706:D750" si="11">CHOOSE(WEEKDAY(DATE(VALUE(LEFT(A706,4)),VALUE(MID(A706,6,2)),VALUE(MID(A706,9,2))),2),"Пн","Вт","Ср","Чт","Пт","Сб","Вс")</f>
        <v>Ср</v>
      </c>
    </row>
    <row r="707" spans="1:4">
      <c r="A707" s="87" t="s">
        <v>719</v>
      </c>
      <c r="B707" s="88" t="s">
        <v>23</v>
      </c>
      <c r="C707" s="88">
        <v>607</v>
      </c>
      <c r="D707" s="89" t="str">
        <f t="shared" si="11"/>
        <v>Ср</v>
      </c>
    </row>
    <row r="708" spans="1:4">
      <c r="A708" s="87" t="s">
        <v>720</v>
      </c>
      <c r="B708" s="88" t="s">
        <v>5</v>
      </c>
      <c r="C708" s="88">
        <v>424</v>
      </c>
      <c r="D708" s="89" t="str">
        <f t="shared" si="11"/>
        <v>Ср</v>
      </c>
    </row>
    <row r="709" spans="1:4">
      <c r="A709" s="87" t="s">
        <v>721</v>
      </c>
      <c r="B709" s="88" t="s">
        <v>7</v>
      </c>
      <c r="C709" s="88">
        <v>625</v>
      </c>
      <c r="D709" s="89" t="str">
        <f t="shared" si="11"/>
        <v>Ср</v>
      </c>
    </row>
    <row r="710" spans="1:4">
      <c r="A710" s="87" t="s">
        <v>722</v>
      </c>
      <c r="B710" s="88" t="s">
        <v>9</v>
      </c>
      <c r="C710" s="88">
        <v>38</v>
      </c>
      <c r="D710" s="89" t="str">
        <f t="shared" si="11"/>
        <v>Ср</v>
      </c>
    </row>
    <row r="711" spans="1:4">
      <c r="A711" s="87" t="s">
        <v>723</v>
      </c>
      <c r="B711" s="88" t="s">
        <v>11</v>
      </c>
      <c r="C711" s="88">
        <v>310</v>
      </c>
      <c r="D711" s="89" t="str">
        <f t="shared" si="11"/>
        <v>Ср</v>
      </c>
    </row>
    <row r="712" spans="1:4">
      <c r="A712" s="87" t="s">
        <v>724</v>
      </c>
      <c r="B712" s="88" t="s">
        <v>13</v>
      </c>
      <c r="C712" s="88">
        <v>335</v>
      </c>
      <c r="D712" s="89" t="str">
        <f t="shared" si="11"/>
        <v>Ср</v>
      </c>
    </row>
    <row r="713" spans="1:4">
      <c r="A713" s="87" t="s">
        <v>725</v>
      </c>
      <c r="B713" s="88" t="s">
        <v>15</v>
      </c>
      <c r="C713" s="88">
        <v>313</v>
      </c>
      <c r="D713" s="89" t="str">
        <f t="shared" si="11"/>
        <v>Ср</v>
      </c>
    </row>
    <row r="714" spans="1:4">
      <c r="A714" s="87" t="s">
        <v>726</v>
      </c>
      <c r="B714" s="88" t="s">
        <v>17</v>
      </c>
      <c r="C714" s="88">
        <v>78</v>
      </c>
      <c r="D714" s="89" t="str">
        <f t="shared" si="11"/>
        <v>Ср</v>
      </c>
    </row>
    <row r="715" spans="1:4">
      <c r="A715" s="87" t="s">
        <v>727</v>
      </c>
      <c r="B715" s="88" t="s">
        <v>19</v>
      </c>
      <c r="C715" s="88">
        <v>151</v>
      </c>
      <c r="D715" s="89" t="str">
        <f t="shared" si="11"/>
        <v>Ср</v>
      </c>
    </row>
    <row r="716" spans="1:4">
      <c r="A716" s="87" t="s">
        <v>728</v>
      </c>
      <c r="B716" s="88" t="s">
        <v>21</v>
      </c>
      <c r="C716" s="88">
        <v>461</v>
      </c>
      <c r="D716" s="89" t="str">
        <f t="shared" si="11"/>
        <v>Ср</v>
      </c>
    </row>
    <row r="717" spans="1:4">
      <c r="A717" s="87" t="s">
        <v>729</v>
      </c>
      <c r="B717" s="88" t="s">
        <v>23</v>
      </c>
      <c r="C717" s="88">
        <v>523</v>
      </c>
      <c r="D717" s="89" t="str">
        <f t="shared" si="11"/>
        <v>Ср</v>
      </c>
    </row>
    <row r="718" spans="1:4">
      <c r="A718" s="87" t="s">
        <v>730</v>
      </c>
      <c r="B718" s="88" t="s">
        <v>5</v>
      </c>
      <c r="C718" s="88">
        <v>789</v>
      </c>
      <c r="D718" s="89" t="str">
        <f t="shared" si="11"/>
        <v>Ср</v>
      </c>
    </row>
    <row r="719" spans="1:4">
      <c r="A719" s="87" t="s">
        <v>731</v>
      </c>
      <c r="B719" s="88" t="s">
        <v>7</v>
      </c>
      <c r="C719" s="88">
        <v>654</v>
      </c>
      <c r="D719" s="89" t="str">
        <f t="shared" si="11"/>
        <v>Ср</v>
      </c>
    </row>
    <row r="720" spans="1:4">
      <c r="A720" s="87" t="s">
        <v>732</v>
      </c>
      <c r="B720" s="88" t="s">
        <v>9</v>
      </c>
      <c r="C720" s="88">
        <v>125</v>
      </c>
      <c r="D720" s="89" t="str">
        <f t="shared" si="11"/>
        <v>Ср</v>
      </c>
    </row>
    <row r="721" spans="1:4">
      <c r="A721" s="87" t="s">
        <v>733</v>
      </c>
      <c r="B721" s="88" t="s">
        <v>11</v>
      </c>
      <c r="C721" s="88">
        <v>658</v>
      </c>
      <c r="D721" s="89" t="str">
        <f t="shared" si="11"/>
        <v>Ср</v>
      </c>
    </row>
    <row r="722" spans="1:4">
      <c r="A722" s="87" t="s">
        <v>734</v>
      </c>
      <c r="B722" s="88" t="s">
        <v>15</v>
      </c>
      <c r="C722" s="88">
        <v>399</v>
      </c>
      <c r="D722" s="89" t="str">
        <f t="shared" si="11"/>
        <v>Чт</v>
      </c>
    </row>
    <row r="723" spans="1:4">
      <c r="A723" s="87" t="s">
        <v>735</v>
      </c>
      <c r="B723" s="88" t="s">
        <v>17</v>
      </c>
      <c r="C723" s="88">
        <v>539</v>
      </c>
      <c r="D723" s="89" t="str">
        <f t="shared" si="11"/>
        <v>Чт</v>
      </c>
    </row>
    <row r="724" spans="1:4">
      <c r="A724" s="87" t="s">
        <v>736</v>
      </c>
      <c r="B724" s="88" t="s">
        <v>19</v>
      </c>
      <c r="C724" s="88">
        <v>534</v>
      </c>
      <c r="D724" s="89" t="str">
        <f t="shared" si="11"/>
        <v>Чт</v>
      </c>
    </row>
    <row r="725" spans="1:4">
      <c r="A725" s="87" t="s">
        <v>737</v>
      </c>
      <c r="B725" s="88" t="s">
        <v>21</v>
      </c>
      <c r="C725" s="88">
        <v>230</v>
      </c>
      <c r="D725" s="89" t="str">
        <f t="shared" si="11"/>
        <v>Чт</v>
      </c>
    </row>
    <row r="726" spans="1:4">
      <c r="A726" s="87" t="s">
        <v>738</v>
      </c>
      <c r="B726" s="88" t="s">
        <v>23</v>
      </c>
      <c r="C726" s="88">
        <v>438</v>
      </c>
      <c r="D726" s="89" t="str">
        <f t="shared" si="11"/>
        <v>Чт</v>
      </c>
    </row>
    <row r="727" spans="1:4">
      <c r="A727" s="87" t="s">
        <v>734</v>
      </c>
      <c r="B727" s="88" t="s">
        <v>7</v>
      </c>
      <c r="C727" s="88">
        <v>74</v>
      </c>
      <c r="D727" s="89" t="str">
        <f t="shared" si="11"/>
        <v>Чт</v>
      </c>
    </row>
    <row r="728" spans="1:4">
      <c r="A728" s="87" t="s">
        <v>735</v>
      </c>
      <c r="B728" s="88" t="s">
        <v>9</v>
      </c>
      <c r="C728" s="88">
        <v>197</v>
      </c>
      <c r="D728" s="89" t="str">
        <f t="shared" si="11"/>
        <v>Чт</v>
      </c>
    </row>
    <row r="729" spans="1:4">
      <c r="A729" s="87" t="s">
        <v>736</v>
      </c>
      <c r="B729" s="88" t="s">
        <v>11</v>
      </c>
      <c r="C729" s="88">
        <v>628</v>
      </c>
      <c r="D729" s="89" t="str">
        <f t="shared" si="11"/>
        <v>Чт</v>
      </c>
    </row>
    <row r="730" spans="1:4">
      <c r="A730" s="87" t="s">
        <v>737</v>
      </c>
      <c r="B730" s="88" t="s">
        <v>13</v>
      </c>
      <c r="C730" s="88">
        <v>108</v>
      </c>
      <c r="D730" s="89" t="str">
        <f t="shared" si="11"/>
        <v>Чт</v>
      </c>
    </row>
    <row r="731" spans="1:4">
      <c r="A731" s="87" t="s">
        <v>738</v>
      </c>
      <c r="B731" s="88" t="s">
        <v>15</v>
      </c>
      <c r="C731" s="88">
        <v>334</v>
      </c>
      <c r="D731" s="89" t="str">
        <f t="shared" si="11"/>
        <v>Чт</v>
      </c>
    </row>
    <row r="732" spans="1:4">
      <c r="A732" s="87" t="s">
        <v>739</v>
      </c>
      <c r="B732" s="88" t="s">
        <v>17</v>
      </c>
      <c r="C732" s="88">
        <v>195</v>
      </c>
      <c r="D732" s="89" t="str">
        <f t="shared" si="11"/>
        <v>Чт</v>
      </c>
    </row>
    <row r="733" spans="1:4">
      <c r="A733" s="87" t="s">
        <v>740</v>
      </c>
      <c r="B733" s="88" t="s">
        <v>19</v>
      </c>
      <c r="C733" s="88">
        <v>184</v>
      </c>
      <c r="D733" s="89" t="str">
        <f t="shared" si="11"/>
        <v>Чт</v>
      </c>
    </row>
    <row r="734" spans="1:4">
      <c r="A734" s="87" t="s">
        <v>741</v>
      </c>
      <c r="B734" s="88" t="s">
        <v>21</v>
      </c>
      <c r="C734" s="88">
        <v>427</v>
      </c>
      <c r="D734" s="89" t="str">
        <f t="shared" si="11"/>
        <v>Чт</v>
      </c>
    </row>
    <row r="735" spans="1:4">
      <c r="A735" s="87" t="s">
        <v>742</v>
      </c>
      <c r="B735" s="88" t="s">
        <v>23</v>
      </c>
      <c r="C735" s="88">
        <v>19</v>
      </c>
      <c r="D735" s="89" t="str">
        <f t="shared" si="11"/>
        <v>Чт</v>
      </c>
    </row>
    <row r="736" spans="1:4">
      <c r="A736" s="87" t="s">
        <v>743</v>
      </c>
      <c r="B736" s="88" t="s">
        <v>5</v>
      </c>
      <c r="C736" s="88">
        <v>299</v>
      </c>
      <c r="D736" s="89" t="str">
        <f t="shared" si="11"/>
        <v>Чт</v>
      </c>
    </row>
    <row r="737" spans="1:4">
      <c r="A737" s="87" t="s">
        <v>744</v>
      </c>
      <c r="B737" s="88" t="s">
        <v>7</v>
      </c>
      <c r="C737" s="88">
        <v>627</v>
      </c>
      <c r="D737" s="89" t="str">
        <f t="shared" si="11"/>
        <v>Чт</v>
      </c>
    </row>
    <row r="738" spans="1:4">
      <c r="A738" s="87" t="s">
        <v>745</v>
      </c>
      <c r="B738" s="88" t="s">
        <v>9</v>
      </c>
      <c r="C738" s="88">
        <v>620</v>
      </c>
      <c r="D738" s="89" t="str">
        <f t="shared" si="11"/>
        <v>Чт</v>
      </c>
    </row>
    <row r="739" spans="1:4">
      <c r="A739" s="87" t="s">
        <v>746</v>
      </c>
      <c r="B739" s="88" t="s">
        <v>11</v>
      </c>
      <c r="C739" s="88">
        <v>106</v>
      </c>
      <c r="D739" s="89" t="str">
        <f t="shared" si="11"/>
        <v>Чт</v>
      </c>
    </row>
    <row r="740" spans="1:4">
      <c r="A740" s="87" t="s">
        <v>747</v>
      </c>
      <c r="B740" s="88" t="s">
        <v>13</v>
      </c>
      <c r="C740" s="88">
        <v>280</v>
      </c>
      <c r="D740" s="89" t="str">
        <f t="shared" si="11"/>
        <v>Чт</v>
      </c>
    </row>
    <row r="741" spans="1:4">
      <c r="A741" s="87" t="s">
        <v>748</v>
      </c>
      <c r="B741" s="88" t="s">
        <v>15</v>
      </c>
      <c r="C741" s="88">
        <v>457</v>
      </c>
      <c r="D741" s="89" t="str">
        <f t="shared" si="11"/>
        <v>Чт</v>
      </c>
    </row>
    <row r="742" spans="1:4">
      <c r="A742" s="87" t="s">
        <v>749</v>
      </c>
      <c r="B742" s="88" t="s">
        <v>17</v>
      </c>
      <c r="C742" s="88">
        <v>15</v>
      </c>
      <c r="D742" s="89" t="str">
        <f t="shared" si="11"/>
        <v>Чт</v>
      </c>
    </row>
    <row r="743" spans="1:4">
      <c r="A743" s="87" t="s">
        <v>750</v>
      </c>
      <c r="B743" s="88" t="s">
        <v>19</v>
      </c>
      <c r="C743" s="88">
        <v>208</v>
      </c>
      <c r="D743" s="89" t="str">
        <f t="shared" si="11"/>
        <v>Чт</v>
      </c>
    </row>
    <row r="744" spans="1:4">
      <c r="A744" s="87" t="s">
        <v>751</v>
      </c>
      <c r="B744" s="88" t="s">
        <v>21</v>
      </c>
      <c r="C744" s="88">
        <v>136</v>
      </c>
      <c r="D744" s="89" t="str">
        <f t="shared" si="11"/>
        <v>Чт</v>
      </c>
    </row>
    <row r="745" spans="1:4">
      <c r="A745" s="87" t="s">
        <v>752</v>
      </c>
      <c r="B745" s="88" t="s">
        <v>23</v>
      </c>
      <c r="C745" s="88">
        <v>65</v>
      </c>
      <c r="D745" s="89" t="str">
        <f t="shared" si="11"/>
        <v>Чт</v>
      </c>
    </row>
    <row r="746" spans="1:4">
      <c r="A746" s="87" t="s">
        <v>753</v>
      </c>
      <c r="B746" s="88" t="s">
        <v>5</v>
      </c>
      <c r="C746" s="88">
        <v>25</v>
      </c>
      <c r="D746" s="89" t="str">
        <f t="shared" si="11"/>
        <v>Чт</v>
      </c>
    </row>
    <row r="747" spans="1:4">
      <c r="A747" s="87" t="s">
        <v>754</v>
      </c>
      <c r="B747" s="88" t="s">
        <v>7</v>
      </c>
      <c r="C747" s="88">
        <v>22</v>
      </c>
      <c r="D747" s="89" t="str">
        <f t="shared" si="11"/>
        <v>Чт</v>
      </c>
    </row>
    <row r="748" spans="1:4">
      <c r="A748" s="87" t="s">
        <v>755</v>
      </c>
      <c r="B748" s="88" t="s">
        <v>9</v>
      </c>
      <c r="C748" s="88">
        <v>27</v>
      </c>
      <c r="D748" s="89" t="str">
        <f t="shared" si="11"/>
        <v>Чт</v>
      </c>
    </row>
    <row r="749" spans="1:4">
      <c r="A749" s="87" t="s">
        <v>756</v>
      </c>
      <c r="B749" s="88" t="s">
        <v>11</v>
      </c>
      <c r="C749" s="88">
        <v>30</v>
      </c>
      <c r="D749" s="89" t="str">
        <f t="shared" si="11"/>
        <v>Чт</v>
      </c>
    </row>
    <row r="750" ht="15.15" spans="1:4">
      <c r="A750" s="90" t="s">
        <v>757</v>
      </c>
      <c r="B750" s="91" t="s">
        <v>13</v>
      </c>
      <c r="C750" s="91">
        <v>273</v>
      </c>
      <c r="D750" s="92" t="str">
        <f t="shared" si="11"/>
        <v>Чт</v>
      </c>
    </row>
  </sheetData>
  <mergeCells count="1">
    <mergeCell ref="E1:G1"/>
  </mergeCells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9"/>
  <sheetViews>
    <sheetView workbookViewId="0">
      <selection activeCell="C5" sqref="A1:D559"/>
    </sheetView>
  </sheetViews>
  <sheetFormatPr defaultColWidth="9" defaultRowHeight="14.4" outlineLevelCol="3"/>
  <cols>
    <col min="1" max="1" width="13" customWidth="1"/>
    <col min="2" max="2" width="7" customWidth="1"/>
    <col min="3" max="3" width="12" customWidth="1"/>
  </cols>
  <sheetData>
    <row r="1" ht="15.15" spans="1:4">
      <c r="A1" s="81" t="s">
        <v>0</v>
      </c>
      <c r="B1" s="107" t="s">
        <v>758</v>
      </c>
      <c r="C1" s="82" t="s">
        <v>1</v>
      </c>
      <c r="D1" s="83" t="s">
        <v>2</v>
      </c>
    </row>
    <row r="2" spans="1:4">
      <c r="A2" s="84" t="s">
        <v>4</v>
      </c>
      <c r="B2" s="108">
        <f>TIME(VALUE(RIGHT(A2,2)),0,0)</f>
        <v>0</v>
      </c>
      <c r="C2" s="85" t="s">
        <v>5</v>
      </c>
      <c r="D2" s="86">
        <v>156</v>
      </c>
    </row>
    <row r="3" spans="1:4">
      <c r="A3" s="87" t="s">
        <v>6</v>
      </c>
      <c r="B3" s="109">
        <f t="shared" ref="B3:B66" si="0">TIME(VALUE(RIGHT(A3,2)),0,0)</f>
        <v>0.0416666666666667</v>
      </c>
      <c r="C3" s="88" t="s">
        <v>7</v>
      </c>
      <c r="D3" s="89">
        <v>237</v>
      </c>
    </row>
    <row r="4" spans="1:4">
      <c r="A4" s="87" t="s">
        <v>8</v>
      </c>
      <c r="B4" s="109">
        <f t="shared" si="0"/>
        <v>0.0833333333333333</v>
      </c>
      <c r="C4" s="88" t="s">
        <v>9</v>
      </c>
      <c r="D4" s="89">
        <v>191</v>
      </c>
    </row>
    <row r="5" spans="1:4">
      <c r="A5" s="87" t="s">
        <v>10</v>
      </c>
      <c r="B5" s="109">
        <f t="shared" si="0"/>
        <v>0.125</v>
      </c>
      <c r="C5" s="88" t="s">
        <v>11</v>
      </c>
      <c r="D5" s="89">
        <v>296</v>
      </c>
    </row>
    <row r="6" spans="1:4">
      <c r="A6" s="87" t="s">
        <v>12</v>
      </c>
      <c r="B6" s="109">
        <f t="shared" si="0"/>
        <v>0.166666666666667</v>
      </c>
      <c r="C6" s="88" t="s">
        <v>13</v>
      </c>
      <c r="D6" s="89">
        <v>42</v>
      </c>
    </row>
    <row r="7" spans="1:4">
      <c r="A7" s="87" t="s">
        <v>14</v>
      </c>
      <c r="B7" s="109">
        <f t="shared" si="0"/>
        <v>0.208333333333333</v>
      </c>
      <c r="C7" s="88" t="s">
        <v>15</v>
      </c>
      <c r="D7" s="89">
        <v>64</v>
      </c>
    </row>
    <row r="8" spans="1:4">
      <c r="A8" s="87" t="s">
        <v>16</v>
      </c>
      <c r="B8" s="109">
        <f t="shared" si="0"/>
        <v>0.25</v>
      </c>
      <c r="C8" s="88" t="s">
        <v>17</v>
      </c>
      <c r="D8" s="89">
        <v>639</v>
      </c>
    </row>
    <row r="9" spans="1:4">
      <c r="A9" s="87" t="s">
        <v>18</v>
      </c>
      <c r="B9" s="109">
        <f t="shared" si="0"/>
        <v>0.291666666666667</v>
      </c>
      <c r="C9" s="88" t="s">
        <v>19</v>
      </c>
      <c r="D9" s="89">
        <v>472</v>
      </c>
    </row>
    <row r="10" spans="1:4">
      <c r="A10" s="87" t="s">
        <v>20</v>
      </c>
      <c r="B10" s="109">
        <f t="shared" si="0"/>
        <v>0.333333333333333</v>
      </c>
      <c r="C10" s="88" t="s">
        <v>21</v>
      </c>
      <c r="D10" s="89">
        <v>422</v>
      </c>
    </row>
    <row r="11" spans="1:4">
      <c r="A11" s="87" t="s">
        <v>22</v>
      </c>
      <c r="B11" s="109">
        <f t="shared" si="0"/>
        <v>0.375</v>
      </c>
      <c r="C11" s="88" t="s">
        <v>23</v>
      </c>
      <c r="D11" s="89">
        <v>319</v>
      </c>
    </row>
    <row r="12" spans="1:4">
      <c r="A12" s="87" t="s">
        <v>24</v>
      </c>
      <c r="B12" s="109">
        <f t="shared" si="0"/>
        <v>0.416666666666667</v>
      </c>
      <c r="C12" s="88" t="s">
        <v>5</v>
      </c>
      <c r="D12" s="89">
        <v>102</v>
      </c>
    </row>
    <row r="13" spans="1:4">
      <c r="A13" s="87" t="s">
        <v>25</v>
      </c>
      <c r="B13" s="109">
        <f t="shared" si="0"/>
        <v>0.458333333333333</v>
      </c>
      <c r="C13" s="88" t="s">
        <v>7</v>
      </c>
      <c r="D13" s="89">
        <v>580</v>
      </c>
    </row>
    <row r="14" spans="1:4">
      <c r="A14" s="87" t="s">
        <v>26</v>
      </c>
      <c r="B14" s="109">
        <f t="shared" si="0"/>
        <v>0.5</v>
      </c>
      <c r="C14" s="88" t="s">
        <v>9</v>
      </c>
      <c r="D14" s="89">
        <v>215</v>
      </c>
    </row>
    <row r="15" spans="1:4">
      <c r="A15" s="87" t="s">
        <v>27</v>
      </c>
      <c r="B15" s="109">
        <f t="shared" si="0"/>
        <v>0.541666666666667</v>
      </c>
      <c r="C15" s="88" t="s">
        <v>11</v>
      </c>
      <c r="D15" s="89">
        <v>375</v>
      </c>
    </row>
    <row r="16" spans="1:4">
      <c r="A16" s="87" t="s">
        <v>28</v>
      </c>
      <c r="B16" s="109">
        <f t="shared" si="0"/>
        <v>0.583333333333333</v>
      </c>
      <c r="C16" s="88" t="s">
        <v>13</v>
      </c>
      <c r="D16" s="89">
        <v>21</v>
      </c>
    </row>
    <row r="17" spans="1:4">
      <c r="A17" s="87" t="s">
        <v>29</v>
      </c>
      <c r="B17" s="109">
        <f t="shared" si="0"/>
        <v>0.625</v>
      </c>
      <c r="C17" s="88" t="s">
        <v>15</v>
      </c>
      <c r="D17" s="89">
        <v>92</v>
      </c>
    </row>
    <row r="18" spans="1:4">
      <c r="A18" s="87" t="s">
        <v>30</v>
      </c>
      <c r="B18" s="109">
        <f t="shared" si="0"/>
        <v>0.666666666666667</v>
      </c>
      <c r="C18" s="88" t="s">
        <v>17</v>
      </c>
      <c r="D18" s="89">
        <v>529</v>
      </c>
    </row>
    <row r="19" spans="1:4">
      <c r="A19" s="87" t="s">
        <v>31</v>
      </c>
      <c r="B19" s="109">
        <f t="shared" si="0"/>
        <v>0.708333333333333</v>
      </c>
      <c r="C19" s="88" t="s">
        <v>19</v>
      </c>
      <c r="D19" s="89">
        <v>582</v>
      </c>
    </row>
    <row r="20" spans="1:4">
      <c r="A20" s="87" t="s">
        <v>32</v>
      </c>
      <c r="B20" s="109">
        <f t="shared" si="0"/>
        <v>0.75</v>
      </c>
      <c r="C20" s="88" t="s">
        <v>21</v>
      </c>
      <c r="D20" s="89">
        <v>621</v>
      </c>
    </row>
    <row r="21" spans="1:4">
      <c r="A21" s="87" t="s">
        <v>33</v>
      </c>
      <c r="B21" s="109">
        <f t="shared" si="0"/>
        <v>0.791666666666667</v>
      </c>
      <c r="C21" s="88" t="s">
        <v>23</v>
      </c>
      <c r="D21" s="89">
        <v>166</v>
      </c>
    </row>
    <row r="22" spans="1:4">
      <c r="A22" s="87" t="s">
        <v>34</v>
      </c>
      <c r="B22" s="109">
        <f t="shared" si="0"/>
        <v>0.833333333333333</v>
      </c>
      <c r="C22" s="88" t="s">
        <v>5</v>
      </c>
      <c r="D22" s="89">
        <v>29</v>
      </c>
    </row>
    <row r="23" spans="1:4">
      <c r="A23" s="87" t="s">
        <v>35</v>
      </c>
      <c r="B23" s="109">
        <f t="shared" si="0"/>
        <v>0.875</v>
      </c>
      <c r="C23" s="88" t="s">
        <v>7</v>
      </c>
      <c r="D23" s="89">
        <v>610</v>
      </c>
    </row>
    <row r="24" spans="1:4">
      <c r="A24" s="87" t="s">
        <v>36</v>
      </c>
      <c r="B24" s="109">
        <f t="shared" si="0"/>
        <v>0.916666666666667</v>
      </c>
      <c r="C24" s="88" t="s">
        <v>9</v>
      </c>
      <c r="D24" s="89">
        <v>458</v>
      </c>
    </row>
    <row r="25" spans="1:4">
      <c r="A25" s="87" t="s">
        <v>37</v>
      </c>
      <c r="B25" s="109">
        <f t="shared" si="0"/>
        <v>0.958333333333333</v>
      </c>
      <c r="C25" s="88" t="s">
        <v>11</v>
      </c>
      <c r="D25" s="89">
        <v>603</v>
      </c>
    </row>
    <row r="26" spans="1:4">
      <c r="A26" s="87" t="s">
        <v>38</v>
      </c>
      <c r="B26" s="109">
        <f t="shared" si="0"/>
        <v>0</v>
      </c>
      <c r="C26" s="88" t="s">
        <v>13</v>
      </c>
      <c r="D26" s="89">
        <v>598</v>
      </c>
    </row>
    <row r="27" spans="1:4">
      <c r="A27" s="87" t="s">
        <v>39</v>
      </c>
      <c r="B27" s="109">
        <f t="shared" si="0"/>
        <v>0.0416666666666667</v>
      </c>
      <c r="C27" s="88" t="s">
        <v>15</v>
      </c>
      <c r="D27" s="89">
        <v>211</v>
      </c>
    </row>
    <row r="28" spans="1:4">
      <c r="A28" s="87" t="s">
        <v>40</v>
      </c>
      <c r="B28" s="109">
        <f t="shared" si="0"/>
        <v>0.0833333333333333</v>
      </c>
      <c r="C28" s="88" t="s">
        <v>17</v>
      </c>
      <c r="D28" s="89">
        <v>101</v>
      </c>
    </row>
    <row r="29" spans="1:4">
      <c r="A29" s="87" t="s">
        <v>41</v>
      </c>
      <c r="B29" s="109">
        <f t="shared" si="0"/>
        <v>0.125</v>
      </c>
      <c r="C29" s="88" t="s">
        <v>19</v>
      </c>
      <c r="D29" s="89">
        <v>146</v>
      </c>
    </row>
    <row r="30" spans="1:4">
      <c r="A30" s="87" t="s">
        <v>42</v>
      </c>
      <c r="B30" s="109">
        <f t="shared" si="0"/>
        <v>0.166666666666667</v>
      </c>
      <c r="C30" s="88" t="s">
        <v>21</v>
      </c>
      <c r="D30" s="89">
        <v>138</v>
      </c>
    </row>
    <row r="31" spans="1:4">
      <c r="A31" s="87" t="s">
        <v>43</v>
      </c>
      <c r="B31" s="109">
        <f t="shared" si="0"/>
        <v>0.208333333333333</v>
      </c>
      <c r="C31" s="88" t="s">
        <v>23</v>
      </c>
      <c r="D31" s="89">
        <v>304</v>
      </c>
    </row>
    <row r="32" spans="1:4">
      <c r="A32" s="87" t="s">
        <v>44</v>
      </c>
      <c r="B32" s="109">
        <f t="shared" si="0"/>
        <v>0.25</v>
      </c>
      <c r="C32" s="88" t="s">
        <v>5</v>
      </c>
      <c r="D32" s="89">
        <v>150</v>
      </c>
    </row>
    <row r="33" spans="1:4">
      <c r="A33" s="87" t="s">
        <v>45</v>
      </c>
      <c r="B33" s="109">
        <f t="shared" si="0"/>
        <v>0.291666666666667</v>
      </c>
      <c r="C33" s="88" t="s">
        <v>7</v>
      </c>
      <c r="D33" s="89">
        <v>545</v>
      </c>
    </row>
    <row r="34" spans="1:4">
      <c r="A34" s="87" t="s">
        <v>46</v>
      </c>
      <c r="B34" s="109">
        <f t="shared" si="0"/>
        <v>0.333333333333333</v>
      </c>
      <c r="C34" s="88" t="s">
        <v>9</v>
      </c>
      <c r="D34" s="89">
        <v>506</v>
      </c>
    </row>
    <row r="35" spans="1:4">
      <c r="A35" s="87" t="s">
        <v>47</v>
      </c>
      <c r="B35" s="109">
        <f t="shared" si="0"/>
        <v>0.375</v>
      </c>
      <c r="C35" s="88" t="s">
        <v>11</v>
      </c>
      <c r="D35" s="89">
        <v>219</v>
      </c>
    </row>
    <row r="36" spans="1:4">
      <c r="A36" s="87" t="s">
        <v>48</v>
      </c>
      <c r="B36" s="109">
        <f t="shared" si="0"/>
        <v>0.416666666666667</v>
      </c>
      <c r="C36" s="88" t="s">
        <v>13</v>
      </c>
      <c r="D36" s="89">
        <v>91</v>
      </c>
    </row>
    <row r="37" spans="1:4">
      <c r="A37" s="87" t="s">
        <v>49</v>
      </c>
      <c r="B37" s="109">
        <f t="shared" si="0"/>
        <v>0.458333333333333</v>
      </c>
      <c r="C37" s="88" t="s">
        <v>15</v>
      </c>
      <c r="D37" s="89">
        <v>55</v>
      </c>
    </row>
    <row r="38" spans="1:4">
      <c r="A38" s="87" t="s">
        <v>50</v>
      </c>
      <c r="B38" s="109">
        <f t="shared" si="0"/>
        <v>0.5</v>
      </c>
      <c r="C38" s="88" t="s">
        <v>17</v>
      </c>
      <c r="D38" s="89">
        <v>403</v>
      </c>
    </row>
    <row r="39" spans="1:4">
      <c r="A39" s="87" t="s">
        <v>51</v>
      </c>
      <c r="B39" s="109">
        <f t="shared" si="0"/>
        <v>0.541666666666667</v>
      </c>
      <c r="C39" s="88" t="s">
        <v>19</v>
      </c>
      <c r="D39" s="89">
        <v>516</v>
      </c>
    </row>
    <row r="40" spans="1:4">
      <c r="A40" s="87" t="s">
        <v>52</v>
      </c>
      <c r="B40" s="109">
        <f t="shared" si="0"/>
        <v>0.583333333333333</v>
      </c>
      <c r="C40" s="88" t="s">
        <v>21</v>
      </c>
      <c r="D40" s="89">
        <v>284</v>
      </c>
    </row>
    <row r="41" spans="1:4">
      <c r="A41" s="87" t="s">
        <v>53</v>
      </c>
      <c r="B41" s="109">
        <f t="shared" si="0"/>
        <v>0.625</v>
      </c>
      <c r="C41" s="88" t="s">
        <v>23</v>
      </c>
      <c r="D41" s="89">
        <v>287</v>
      </c>
    </row>
    <row r="42" spans="1:4">
      <c r="A42" s="87" t="s">
        <v>54</v>
      </c>
      <c r="B42" s="109">
        <f t="shared" si="0"/>
        <v>0.666666666666667</v>
      </c>
      <c r="C42" s="88" t="s">
        <v>5</v>
      </c>
      <c r="D42" s="89">
        <v>257</v>
      </c>
    </row>
    <row r="43" spans="1:4">
      <c r="A43" s="87" t="s">
        <v>55</v>
      </c>
      <c r="B43" s="109">
        <f t="shared" si="0"/>
        <v>0.708333333333333</v>
      </c>
      <c r="C43" s="88" t="s">
        <v>7</v>
      </c>
      <c r="D43" s="89">
        <v>444</v>
      </c>
    </row>
    <row r="44" spans="1:4">
      <c r="A44" s="87" t="s">
        <v>56</v>
      </c>
      <c r="B44" s="109">
        <f t="shared" si="0"/>
        <v>0.75</v>
      </c>
      <c r="C44" s="88" t="s">
        <v>9</v>
      </c>
      <c r="D44" s="89">
        <v>410</v>
      </c>
    </row>
    <row r="45" spans="1:4">
      <c r="A45" s="87" t="s">
        <v>57</v>
      </c>
      <c r="B45" s="109">
        <f t="shared" si="0"/>
        <v>0.791666666666667</v>
      </c>
      <c r="C45" s="88" t="s">
        <v>11</v>
      </c>
      <c r="D45" s="89">
        <v>617</v>
      </c>
    </row>
    <row r="46" spans="1:4">
      <c r="A46" s="87" t="s">
        <v>58</v>
      </c>
      <c r="B46" s="109">
        <f t="shared" si="0"/>
        <v>0.833333333333333</v>
      </c>
      <c r="C46" s="88" t="s">
        <v>13</v>
      </c>
      <c r="D46" s="89">
        <v>611</v>
      </c>
    </row>
    <row r="47" spans="1:4">
      <c r="A47" s="87" t="s">
        <v>59</v>
      </c>
      <c r="B47" s="109">
        <f t="shared" si="0"/>
        <v>0.875</v>
      </c>
      <c r="C47" s="88" t="s">
        <v>15</v>
      </c>
      <c r="D47" s="89">
        <v>240</v>
      </c>
    </row>
    <row r="48" spans="1:4">
      <c r="A48" s="87" t="s">
        <v>60</v>
      </c>
      <c r="B48" s="109">
        <f t="shared" si="0"/>
        <v>0.916666666666667</v>
      </c>
      <c r="C48" s="88" t="s">
        <v>17</v>
      </c>
      <c r="D48" s="89">
        <v>129</v>
      </c>
    </row>
    <row r="49" spans="1:4">
      <c r="A49" s="87" t="s">
        <v>61</v>
      </c>
      <c r="B49" s="109">
        <f t="shared" si="0"/>
        <v>0.958333333333333</v>
      </c>
      <c r="C49" s="88" t="s">
        <v>19</v>
      </c>
      <c r="D49" s="89">
        <v>504</v>
      </c>
    </row>
    <row r="50" spans="1:4">
      <c r="A50" s="87" t="s">
        <v>62</v>
      </c>
      <c r="B50" s="109">
        <f t="shared" si="0"/>
        <v>0</v>
      </c>
      <c r="C50" s="88" t="s">
        <v>21</v>
      </c>
      <c r="D50" s="89">
        <v>409</v>
      </c>
    </row>
    <row r="51" spans="1:4">
      <c r="A51" s="87" t="s">
        <v>63</v>
      </c>
      <c r="B51" s="109">
        <f t="shared" si="0"/>
        <v>0.0416666666666667</v>
      </c>
      <c r="C51" s="88" t="s">
        <v>5</v>
      </c>
      <c r="D51" s="89">
        <v>333</v>
      </c>
    </row>
    <row r="52" spans="1:4">
      <c r="A52" s="87" t="s">
        <v>64</v>
      </c>
      <c r="B52" s="109">
        <f t="shared" si="0"/>
        <v>0.0833333333333333</v>
      </c>
      <c r="C52" s="88" t="s">
        <v>7</v>
      </c>
      <c r="D52" s="89">
        <v>186</v>
      </c>
    </row>
    <row r="53" spans="1:4">
      <c r="A53" s="87" t="s">
        <v>65</v>
      </c>
      <c r="B53" s="109">
        <f t="shared" si="0"/>
        <v>0.125</v>
      </c>
      <c r="C53" s="88" t="s">
        <v>9</v>
      </c>
      <c r="D53" s="89">
        <v>354</v>
      </c>
    </row>
    <row r="54" spans="1:4">
      <c r="A54" s="87" t="s">
        <v>66</v>
      </c>
      <c r="B54" s="109">
        <f t="shared" si="0"/>
        <v>0.166666666666667</v>
      </c>
      <c r="C54" s="88" t="s">
        <v>11</v>
      </c>
      <c r="D54" s="89">
        <v>470</v>
      </c>
    </row>
    <row r="55" spans="1:4">
      <c r="A55" s="87" t="s">
        <v>67</v>
      </c>
      <c r="B55" s="109">
        <f t="shared" si="0"/>
        <v>0.208333333333333</v>
      </c>
      <c r="C55" s="88" t="s">
        <v>13</v>
      </c>
      <c r="D55" s="89">
        <v>175</v>
      </c>
    </row>
    <row r="56" spans="1:4">
      <c r="A56" s="87" t="s">
        <v>68</v>
      </c>
      <c r="B56" s="109">
        <f t="shared" si="0"/>
        <v>0.25</v>
      </c>
      <c r="C56" s="88" t="s">
        <v>15</v>
      </c>
      <c r="D56" s="89">
        <v>290</v>
      </c>
    </row>
    <row r="57" spans="1:4">
      <c r="A57" s="87" t="s">
        <v>69</v>
      </c>
      <c r="B57" s="109">
        <f t="shared" si="0"/>
        <v>0.291666666666667</v>
      </c>
      <c r="C57" s="88" t="s">
        <v>17</v>
      </c>
      <c r="D57" s="89">
        <v>174</v>
      </c>
    </row>
    <row r="58" spans="1:4">
      <c r="A58" s="87" t="s">
        <v>70</v>
      </c>
      <c r="B58" s="109">
        <f t="shared" si="0"/>
        <v>0.333333333333333</v>
      </c>
      <c r="C58" s="88" t="s">
        <v>19</v>
      </c>
      <c r="D58" s="89">
        <v>76</v>
      </c>
    </row>
    <row r="59" spans="1:4">
      <c r="A59" s="87" t="s">
        <v>71</v>
      </c>
      <c r="B59" s="109">
        <f t="shared" si="0"/>
        <v>0.375</v>
      </c>
      <c r="C59" s="88" t="s">
        <v>21</v>
      </c>
      <c r="D59" s="89">
        <v>162</v>
      </c>
    </row>
    <row r="60" spans="1:4">
      <c r="A60" s="87" t="s">
        <v>72</v>
      </c>
      <c r="B60" s="109">
        <f t="shared" si="0"/>
        <v>0.416666666666667</v>
      </c>
      <c r="C60" s="88" t="s">
        <v>23</v>
      </c>
      <c r="D60" s="89">
        <v>182</v>
      </c>
    </row>
    <row r="61" spans="1:4">
      <c r="A61" s="87" t="s">
        <v>73</v>
      </c>
      <c r="B61" s="109">
        <f t="shared" si="0"/>
        <v>0.458333333333333</v>
      </c>
      <c r="C61" s="88" t="s">
        <v>5</v>
      </c>
      <c r="D61" s="89">
        <v>248</v>
      </c>
    </row>
    <row r="62" spans="1:4">
      <c r="A62" s="87" t="s">
        <v>74</v>
      </c>
      <c r="B62" s="109">
        <f t="shared" si="0"/>
        <v>0.5</v>
      </c>
      <c r="C62" s="88" t="s">
        <v>7</v>
      </c>
      <c r="D62" s="89">
        <v>423</v>
      </c>
    </row>
    <row r="63" spans="1:4">
      <c r="A63" s="87" t="s">
        <v>75</v>
      </c>
      <c r="B63" s="109">
        <f t="shared" si="0"/>
        <v>0.541666666666667</v>
      </c>
      <c r="C63" s="88" t="s">
        <v>9</v>
      </c>
      <c r="D63" s="89">
        <v>178</v>
      </c>
    </row>
    <row r="64" spans="1:4">
      <c r="A64" s="87" t="s">
        <v>76</v>
      </c>
      <c r="B64" s="109">
        <f t="shared" si="0"/>
        <v>0.583333333333333</v>
      </c>
      <c r="C64" s="88" t="s">
        <v>11</v>
      </c>
      <c r="D64" s="89">
        <v>550</v>
      </c>
    </row>
    <row r="65" spans="1:4">
      <c r="A65" s="87" t="s">
        <v>77</v>
      </c>
      <c r="B65" s="109">
        <f t="shared" si="0"/>
        <v>0.625</v>
      </c>
      <c r="C65" s="88" t="s">
        <v>13</v>
      </c>
      <c r="D65" s="89">
        <v>474</v>
      </c>
    </row>
    <row r="66" spans="1:4">
      <c r="A66" s="87" t="s">
        <v>78</v>
      </c>
      <c r="B66" s="109">
        <f t="shared" si="0"/>
        <v>0.666666666666667</v>
      </c>
      <c r="C66" s="88" t="s">
        <v>15</v>
      </c>
      <c r="D66" s="89">
        <v>575</v>
      </c>
    </row>
    <row r="67" spans="1:4">
      <c r="A67" s="87" t="s">
        <v>79</v>
      </c>
      <c r="B67" s="109">
        <f t="shared" ref="B67:B130" si="1">TIME(VALUE(RIGHT(A67,2)),0,0)</f>
        <v>0.708333333333333</v>
      </c>
      <c r="C67" s="88" t="s">
        <v>17</v>
      </c>
      <c r="D67" s="89">
        <v>385</v>
      </c>
    </row>
    <row r="68" spans="1:4">
      <c r="A68" s="87" t="s">
        <v>80</v>
      </c>
      <c r="B68" s="109">
        <f t="shared" si="1"/>
        <v>0.75</v>
      </c>
      <c r="C68" s="88" t="s">
        <v>19</v>
      </c>
      <c r="D68" s="89">
        <v>238</v>
      </c>
    </row>
    <row r="69" spans="1:4">
      <c r="A69" s="87" t="s">
        <v>81</v>
      </c>
      <c r="B69" s="109">
        <f t="shared" si="1"/>
        <v>0.791666666666667</v>
      </c>
      <c r="C69" s="88" t="s">
        <v>21</v>
      </c>
      <c r="D69" s="89">
        <v>326</v>
      </c>
    </row>
    <row r="70" spans="1:4">
      <c r="A70" s="87" t="s">
        <v>82</v>
      </c>
      <c r="B70" s="109">
        <f t="shared" si="1"/>
        <v>0.833333333333333</v>
      </c>
      <c r="C70" s="88" t="s">
        <v>23</v>
      </c>
      <c r="D70" s="89">
        <v>246</v>
      </c>
    </row>
    <row r="71" spans="1:4">
      <c r="A71" s="87" t="s">
        <v>83</v>
      </c>
      <c r="B71" s="109">
        <f t="shared" si="1"/>
        <v>0.875</v>
      </c>
      <c r="C71" s="88" t="s">
        <v>5</v>
      </c>
      <c r="D71" s="89">
        <v>344</v>
      </c>
    </row>
    <row r="72" spans="1:4">
      <c r="A72" s="87" t="s">
        <v>84</v>
      </c>
      <c r="B72" s="109">
        <f t="shared" si="1"/>
        <v>0.916666666666667</v>
      </c>
      <c r="C72" s="88" t="s">
        <v>7</v>
      </c>
      <c r="D72" s="89">
        <v>594</v>
      </c>
    </row>
    <row r="73" spans="1:4">
      <c r="A73" s="87" t="s">
        <v>85</v>
      </c>
      <c r="B73" s="109">
        <f t="shared" si="1"/>
        <v>0.958333333333333</v>
      </c>
      <c r="C73" s="88" t="s">
        <v>9</v>
      </c>
      <c r="D73" s="89">
        <v>856</v>
      </c>
    </row>
    <row r="74" spans="1:4">
      <c r="A74" s="87" t="s">
        <v>86</v>
      </c>
      <c r="B74" s="109">
        <f t="shared" si="1"/>
        <v>0</v>
      </c>
      <c r="C74" s="88" t="s">
        <v>23</v>
      </c>
      <c r="D74" s="89">
        <v>503</v>
      </c>
    </row>
    <row r="75" spans="1:4">
      <c r="A75" s="87" t="s">
        <v>87</v>
      </c>
      <c r="B75" s="109">
        <f t="shared" si="1"/>
        <v>0.0416666666666667</v>
      </c>
      <c r="C75" s="88" t="s">
        <v>5</v>
      </c>
      <c r="D75" s="89">
        <v>62</v>
      </c>
    </row>
    <row r="76" spans="1:4">
      <c r="A76" s="87" t="s">
        <v>88</v>
      </c>
      <c r="B76" s="109">
        <f t="shared" si="1"/>
        <v>0.0833333333333333</v>
      </c>
      <c r="C76" s="88" t="s">
        <v>7</v>
      </c>
      <c r="D76" s="89">
        <v>41</v>
      </c>
    </row>
    <row r="77" spans="1:4">
      <c r="A77" s="87" t="s">
        <v>89</v>
      </c>
      <c r="B77" s="109">
        <f t="shared" si="1"/>
        <v>0.125</v>
      </c>
      <c r="C77" s="88" t="s">
        <v>9</v>
      </c>
      <c r="D77" s="89">
        <v>635</v>
      </c>
    </row>
    <row r="78" spans="1:4">
      <c r="A78" s="87" t="s">
        <v>90</v>
      </c>
      <c r="B78" s="109">
        <f t="shared" si="1"/>
        <v>0.166666666666667</v>
      </c>
      <c r="C78" s="88" t="s">
        <v>11</v>
      </c>
      <c r="D78" s="89">
        <v>6</v>
      </c>
    </row>
    <row r="79" spans="1:4">
      <c r="A79" s="87" t="s">
        <v>91</v>
      </c>
      <c r="B79" s="109">
        <f t="shared" si="1"/>
        <v>0.208333333333333</v>
      </c>
      <c r="C79" s="88" t="s">
        <v>13</v>
      </c>
      <c r="D79" s="89">
        <v>23</v>
      </c>
    </row>
    <row r="80" spans="1:4">
      <c r="A80" s="87" t="s">
        <v>92</v>
      </c>
      <c r="B80" s="109">
        <f t="shared" si="1"/>
        <v>0.25</v>
      </c>
      <c r="C80" s="88" t="s">
        <v>15</v>
      </c>
      <c r="D80" s="89">
        <v>271</v>
      </c>
    </row>
    <row r="81" spans="1:4">
      <c r="A81" s="87" t="s">
        <v>93</v>
      </c>
      <c r="B81" s="109">
        <f t="shared" si="1"/>
        <v>0.291666666666667</v>
      </c>
      <c r="C81" s="88" t="s">
        <v>17</v>
      </c>
      <c r="D81" s="89">
        <v>96</v>
      </c>
    </row>
    <row r="82" spans="1:4">
      <c r="A82" s="87" t="s">
        <v>94</v>
      </c>
      <c r="B82" s="109">
        <f t="shared" si="1"/>
        <v>0.333333333333333</v>
      </c>
      <c r="C82" s="88" t="s">
        <v>19</v>
      </c>
      <c r="D82" s="89">
        <v>307</v>
      </c>
    </row>
    <row r="83" spans="1:4">
      <c r="A83" s="87" t="s">
        <v>95</v>
      </c>
      <c r="B83" s="109">
        <f t="shared" si="1"/>
        <v>0.375</v>
      </c>
      <c r="C83" s="88" t="s">
        <v>21</v>
      </c>
      <c r="D83" s="89">
        <v>349</v>
      </c>
    </row>
    <row r="84" spans="1:4">
      <c r="A84" s="87" t="s">
        <v>96</v>
      </c>
      <c r="B84" s="109">
        <f t="shared" si="1"/>
        <v>0.416666666666667</v>
      </c>
      <c r="C84" s="88" t="s">
        <v>23</v>
      </c>
      <c r="D84" s="89">
        <v>97</v>
      </c>
    </row>
    <row r="85" spans="1:4">
      <c r="A85" s="87" t="s">
        <v>97</v>
      </c>
      <c r="B85" s="109">
        <f t="shared" si="1"/>
        <v>0.458333333333333</v>
      </c>
      <c r="C85" s="88" t="s">
        <v>5</v>
      </c>
      <c r="D85" s="89">
        <v>274</v>
      </c>
    </row>
    <row r="86" spans="1:4">
      <c r="A86" s="87" t="s">
        <v>98</v>
      </c>
      <c r="B86" s="109">
        <f t="shared" si="1"/>
        <v>0.5</v>
      </c>
      <c r="C86" s="88" t="s">
        <v>7</v>
      </c>
      <c r="D86" s="89">
        <v>4</v>
      </c>
    </row>
    <row r="87" spans="1:4">
      <c r="A87" s="87" t="s">
        <v>99</v>
      </c>
      <c r="B87" s="109">
        <f t="shared" si="1"/>
        <v>0.541666666666667</v>
      </c>
      <c r="C87" s="88" t="s">
        <v>9</v>
      </c>
      <c r="D87" s="89">
        <v>60</v>
      </c>
    </row>
    <row r="88" spans="1:4">
      <c r="A88" s="87" t="s">
        <v>100</v>
      </c>
      <c r="B88" s="109">
        <f t="shared" si="1"/>
        <v>0.583333333333333</v>
      </c>
      <c r="C88" s="88" t="s">
        <v>11</v>
      </c>
      <c r="D88" s="89">
        <v>568</v>
      </c>
    </row>
    <row r="89" spans="1:4">
      <c r="A89" s="87" t="s">
        <v>101</v>
      </c>
      <c r="B89" s="109">
        <f t="shared" si="1"/>
        <v>0.625</v>
      </c>
      <c r="C89" s="88" t="s">
        <v>13</v>
      </c>
      <c r="D89" s="89">
        <v>396</v>
      </c>
    </row>
    <row r="90" spans="1:4">
      <c r="A90" s="87" t="s">
        <v>102</v>
      </c>
      <c r="B90" s="109">
        <f t="shared" si="1"/>
        <v>0.666666666666667</v>
      </c>
      <c r="C90" s="88" t="s">
        <v>15</v>
      </c>
      <c r="D90" s="89">
        <v>158</v>
      </c>
    </row>
    <row r="91" spans="1:4">
      <c r="A91" s="87" t="s">
        <v>103</v>
      </c>
      <c r="B91" s="109">
        <f t="shared" si="1"/>
        <v>0.708333333333333</v>
      </c>
      <c r="C91" s="88" t="s">
        <v>17</v>
      </c>
      <c r="D91" s="89">
        <v>608</v>
      </c>
    </row>
    <row r="92" spans="1:4">
      <c r="A92" s="87" t="s">
        <v>104</v>
      </c>
      <c r="B92" s="109">
        <f t="shared" si="1"/>
        <v>0.75</v>
      </c>
      <c r="C92" s="88" t="s">
        <v>19</v>
      </c>
      <c r="D92" s="89">
        <v>493</v>
      </c>
    </row>
    <row r="93" spans="1:4">
      <c r="A93" s="87" t="s">
        <v>105</v>
      </c>
      <c r="B93" s="109">
        <f t="shared" si="1"/>
        <v>0.791666666666667</v>
      </c>
      <c r="C93" s="88" t="s">
        <v>21</v>
      </c>
      <c r="D93" s="89">
        <v>98</v>
      </c>
    </row>
    <row r="94" spans="1:4">
      <c r="A94" s="87" t="s">
        <v>106</v>
      </c>
      <c r="B94" s="109">
        <f t="shared" si="1"/>
        <v>0.833333333333333</v>
      </c>
      <c r="C94" s="88" t="s">
        <v>23</v>
      </c>
      <c r="D94" s="89">
        <v>333</v>
      </c>
    </row>
    <row r="95" spans="1:4">
      <c r="A95" s="87" t="s">
        <v>107</v>
      </c>
      <c r="B95" s="109">
        <f t="shared" si="1"/>
        <v>0.875</v>
      </c>
      <c r="C95" s="88" t="s">
        <v>5</v>
      </c>
      <c r="D95" s="89">
        <v>186</v>
      </c>
    </row>
    <row r="96" spans="1:4">
      <c r="A96" s="87" t="s">
        <v>108</v>
      </c>
      <c r="B96" s="109">
        <f t="shared" si="1"/>
        <v>0.916666666666667</v>
      </c>
      <c r="C96" s="88" t="s">
        <v>7</v>
      </c>
      <c r="D96" s="89">
        <v>354</v>
      </c>
    </row>
    <row r="97" spans="1:4">
      <c r="A97" s="87" t="s">
        <v>109</v>
      </c>
      <c r="B97" s="109">
        <f t="shared" si="1"/>
        <v>0.958333333333333</v>
      </c>
      <c r="C97" s="88" t="s">
        <v>9</v>
      </c>
      <c r="D97" s="89">
        <v>470</v>
      </c>
    </row>
    <row r="98" spans="1:4">
      <c r="A98" s="87" t="s">
        <v>158</v>
      </c>
      <c r="B98" s="109">
        <f t="shared" si="1"/>
        <v>0</v>
      </c>
      <c r="C98" s="88" t="s">
        <v>7</v>
      </c>
      <c r="D98" s="89">
        <v>434</v>
      </c>
    </row>
    <row r="99" spans="1:4">
      <c r="A99" s="87" t="s">
        <v>159</v>
      </c>
      <c r="B99" s="109">
        <f t="shared" si="1"/>
        <v>0.0416666666666667</v>
      </c>
      <c r="C99" s="88" t="s">
        <v>9</v>
      </c>
      <c r="D99" s="89">
        <v>169</v>
      </c>
    </row>
    <row r="100" spans="1:4">
      <c r="A100" s="87" t="s">
        <v>160</v>
      </c>
      <c r="B100" s="109">
        <f t="shared" si="1"/>
        <v>0.0833333333333333</v>
      </c>
      <c r="C100" s="88" t="s">
        <v>11</v>
      </c>
      <c r="D100" s="89">
        <v>356</v>
      </c>
    </row>
    <row r="101" spans="1:4">
      <c r="A101" s="87" t="s">
        <v>161</v>
      </c>
      <c r="B101" s="109">
        <f t="shared" si="1"/>
        <v>0.125</v>
      </c>
      <c r="C101" s="88" t="s">
        <v>13</v>
      </c>
      <c r="D101" s="89">
        <v>245</v>
      </c>
    </row>
    <row r="102" spans="1:4">
      <c r="A102" s="87" t="s">
        <v>162</v>
      </c>
      <c r="B102" s="109">
        <f t="shared" si="1"/>
        <v>0.166666666666667</v>
      </c>
      <c r="C102" s="88" t="s">
        <v>15</v>
      </c>
      <c r="D102" s="89">
        <v>596</v>
      </c>
    </row>
    <row r="103" spans="1:4">
      <c r="A103" s="87" t="s">
        <v>163</v>
      </c>
      <c r="B103" s="109">
        <f t="shared" si="1"/>
        <v>0.208333333333333</v>
      </c>
      <c r="C103" s="88" t="s">
        <v>17</v>
      </c>
      <c r="D103" s="89">
        <v>309</v>
      </c>
    </row>
    <row r="104" spans="1:4">
      <c r="A104" s="87" t="s">
        <v>164</v>
      </c>
      <c r="B104" s="109">
        <f t="shared" si="1"/>
        <v>0.25</v>
      </c>
      <c r="C104" s="88" t="s">
        <v>19</v>
      </c>
      <c r="D104" s="89">
        <v>475</v>
      </c>
    </row>
    <row r="105" spans="1:4">
      <c r="A105" s="87" t="s">
        <v>165</v>
      </c>
      <c r="B105" s="109">
        <f t="shared" si="1"/>
        <v>0.291666666666667</v>
      </c>
      <c r="C105" s="88" t="s">
        <v>21</v>
      </c>
      <c r="D105" s="89">
        <v>361</v>
      </c>
    </row>
    <row r="106" spans="1:4">
      <c r="A106" s="87" t="s">
        <v>166</v>
      </c>
      <c r="B106" s="109">
        <f t="shared" si="1"/>
        <v>0.333333333333333</v>
      </c>
      <c r="C106" s="88" t="s">
        <v>23</v>
      </c>
      <c r="D106" s="89">
        <v>563</v>
      </c>
    </row>
    <row r="107" spans="1:4">
      <c r="A107" s="87" t="s">
        <v>167</v>
      </c>
      <c r="B107" s="109">
        <f t="shared" si="1"/>
        <v>0.375</v>
      </c>
      <c r="C107" s="88" t="s">
        <v>5</v>
      </c>
      <c r="D107" s="89">
        <v>527</v>
      </c>
    </row>
    <row r="108" spans="1:4">
      <c r="A108" s="87" t="s">
        <v>168</v>
      </c>
      <c r="B108" s="109">
        <f t="shared" si="1"/>
        <v>0.416666666666667</v>
      </c>
      <c r="C108" s="88" t="s">
        <v>7</v>
      </c>
      <c r="D108" s="89">
        <v>584</v>
      </c>
    </row>
    <row r="109" spans="1:4">
      <c r="A109" s="87" t="s">
        <v>169</v>
      </c>
      <c r="B109" s="109">
        <f t="shared" si="1"/>
        <v>0.458333333333333</v>
      </c>
      <c r="C109" s="88" t="s">
        <v>9</v>
      </c>
      <c r="D109" s="89">
        <v>58</v>
      </c>
    </row>
    <row r="110" spans="1:4">
      <c r="A110" s="87" t="s">
        <v>170</v>
      </c>
      <c r="B110" s="109">
        <f t="shared" si="1"/>
        <v>0.5</v>
      </c>
      <c r="C110" s="88" t="s">
        <v>11</v>
      </c>
      <c r="D110" s="89">
        <v>536</v>
      </c>
    </row>
    <row r="111" spans="1:4">
      <c r="A111" s="87" t="s">
        <v>171</v>
      </c>
      <c r="B111" s="109">
        <f t="shared" si="1"/>
        <v>0.541666666666667</v>
      </c>
      <c r="C111" s="88" t="s">
        <v>13</v>
      </c>
      <c r="D111" s="89">
        <v>622</v>
      </c>
    </row>
    <row r="112" spans="1:4">
      <c r="A112" s="87" t="s">
        <v>172</v>
      </c>
      <c r="B112" s="109">
        <f t="shared" si="1"/>
        <v>0.583333333333333</v>
      </c>
      <c r="C112" s="88" t="s">
        <v>15</v>
      </c>
      <c r="D112" s="89">
        <v>501</v>
      </c>
    </row>
    <row r="113" spans="1:4">
      <c r="A113" s="87" t="s">
        <v>173</v>
      </c>
      <c r="B113" s="109">
        <f t="shared" si="1"/>
        <v>0.625</v>
      </c>
      <c r="C113" s="88" t="s">
        <v>17</v>
      </c>
      <c r="D113" s="89">
        <v>293</v>
      </c>
    </row>
    <row r="114" spans="1:4">
      <c r="A114" s="87" t="s">
        <v>174</v>
      </c>
      <c r="B114" s="109">
        <f t="shared" si="1"/>
        <v>0.666666666666667</v>
      </c>
      <c r="C114" s="88" t="s">
        <v>19</v>
      </c>
      <c r="D114" s="89">
        <v>252</v>
      </c>
    </row>
    <row r="115" spans="1:4">
      <c r="A115" s="87" t="s">
        <v>175</v>
      </c>
      <c r="B115" s="109">
        <f t="shared" si="1"/>
        <v>0.708333333333333</v>
      </c>
      <c r="C115" s="88" t="s">
        <v>21</v>
      </c>
      <c r="D115" s="89">
        <v>256</v>
      </c>
    </row>
    <row r="116" spans="1:4">
      <c r="A116" s="87" t="s">
        <v>176</v>
      </c>
      <c r="B116" s="109">
        <f t="shared" si="1"/>
        <v>0.75</v>
      </c>
      <c r="C116" s="88" t="s">
        <v>23</v>
      </c>
      <c r="D116" s="89">
        <v>20</v>
      </c>
    </row>
    <row r="117" spans="1:4">
      <c r="A117" s="87" t="s">
        <v>177</v>
      </c>
      <c r="B117" s="109">
        <f t="shared" si="1"/>
        <v>0.791666666666667</v>
      </c>
      <c r="C117" s="88" t="s">
        <v>5</v>
      </c>
      <c r="D117" s="89">
        <v>209</v>
      </c>
    </row>
    <row r="118" spans="1:4">
      <c r="A118" s="87" t="s">
        <v>178</v>
      </c>
      <c r="B118" s="109">
        <f t="shared" si="1"/>
        <v>0.833333333333333</v>
      </c>
      <c r="C118" s="88" t="s">
        <v>7</v>
      </c>
      <c r="D118" s="89">
        <v>417</v>
      </c>
    </row>
    <row r="119" spans="1:4">
      <c r="A119" s="87" t="s">
        <v>179</v>
      </c>
      <c r="B119" s="109">
        <f t="shared" si="1"/>
        <v>0.875</v>
      </c>
      <c r="C119" s="88" t="s">
        <v>9</v>
      </c>
      <c r="D119" s="89">
        <v>374</v>
      </c>
    </row>
    <row r="120" spans="1:4">
      <c r="A120" s="87" t="s">
        <v>180</v>
      </c>
      <c r="B120" s="109">
        <f t="shared" si="1"/>
        <v>0.916666666666667</v>
      </c>
      <c r="C120" s="88" t="s">
        <v>11</v>
      </c>
      <c r="D120" s="89">
        <v>389</v>
      </c>
    </row>
    <row r="121" spans="1:4">
      <c r="A121" s="87" t="s">
        <v>181</v>
      </c>
      <c r="B121" s="109">
        <f t="shared" si="1"/>
        <v>0.958333333333333</v>
      </c>
      <c r="C121" s="88" t="s">
        <v>13</v>
      </c>
      <c r="D121" s="89">
        <v>262</v>
      </c>
    </row>
    <row r="122" spans="1:4">
      <c r="A122" s="87" t="s">
        <v>182</v>
      </c>
      <c r="B122" s="109">
        <f t="shared" si="1"/>
        <v>0</v>
      </c>
      <c r="C122" s="88" t="s">
        <v>15</v>
      </c>
      <c r="D122" s="89">
        <v>399</v>
      </c>
    </row>
    <row r="123" spans="1:4">
      <c r="A123" s="87" t="s">
        <v>183</v>
      </c>
      <c r="B123" s="109">
        <f t="shared" si="1"/>
        <v>0.0416666666666667</v>
      </c>
      <c r="C123" s="88" t="s">
        <v>17</v>
      </c>
      <c r="D123" s="89">
        <v>539</v>
      </c>
    </row>
    <row r="124" spans="1:4">
      <c r="A124" s="87" t="s">
        <v>184</v>
      </c>
      <c r="B124" s="109">
        <f t="shared" si="1"/>
        <v>0.0833333333333333</v>
      </c>
      <c r="C124" s="88" t="s">
        <v>19</v>
      </c>
      <c r="D124" s="89">
        <v>534</v>
      </c>
    </row>
    <row r="125" spans="1:4">
      <c r="A125" s="87" t="s">
        <v>185</v>
      </c>
      <c r="B125" s="109">
        <f t="shared" si="1"/>
        <v>0.125</v>
      </c>
      <c r="C125" s="88" t="s">
        <v>21</v>
      </c>
      <c r="D125" s="89">
        <v>230</v>
      </c>
    </row>
    <row r="126" spans="1:4">
      <c r="A126" s="87" t="s">
        <v>186</v>
      </c>
      <c r="B126" s="109">
        <f t="shared" si="1"/>
        <v>0.166666666666667</v>
      </c>
      <c r="C126" s="88" t="s">
        <v>23</v>
      </c>
      <c r="D126" s="89">
        <v>438</v>
      </c>
    </row>
    <row r="127" spans="1:4">
      <c r="A127" s="87" t="s">
        <v>187</v>
      </c>
      <c r="B127" s="109">
        <f t="shared" si="1"/>
        <v>0.208333333333333</v>
      </c>
      <c r="C127" s="88" t="s">
        <v>5</v>
      </c>
      <c r="D127" s="89">
        <v>515</v>
      </c>
    </row>
    <row r="128" spans="1:4">
      <c r="A128" s="87" t="s">
        <v>188</v>
      </c>
      <c r="B128" s="109">
        <f t="shared" si="1"/>
        <v>0.25</v>
      </c>
      <c r="C128" s="88" t="s">
        <v>7</v>
      </c>
      <c r="D128" s="89">
        <v>118</v>
      </c>
    </row>
    <row r="129" spans="1:4">
      <c r="A129" s="87" t="s">
        <v>189</v>
      </c>
      <c r="B129" s="109">
        <f t="shared" si="1"/>
        <v>0.291666666666667</v>
      </c>
      <c r="C129" s="88" t="s">
        <v>9</v>
      </c>
      <c r="D129" s="89">
        <v>555</v>
      </c>
    </row>
    <row r="130" spans="1:4">
      <c r="A130" s="87" t="s">
        <v>190</v>
      </c>
      <c r="B130" s="109">
        <f t="shared" si="1"/>
        <v>0.333333333333333</v>
      </c>
      <c r="C130" s="88" t="s">
        <v>11</v>
      </c>
      <c r="D130" s="89">
        <v>79</v>
      </c>
    </row>
    <row r="131" spans="1:4">
      <c r="A131" s="87" t="s">
        <v>191</v>
      </c>
      <c r="B131" s="109">
        <f t="shared" ref="B131:B194" si="2">TIME(VALUE(RIGHT(A131,2)),0,0)</f>
        <v>0.375</v>
      </c>
      <c r="C131" s="88" t="s">
        <v>13</v>
      </c>
      <c r="D131" s="89">
        <v>68</v>
      </c>
    </row>
    <row r="132" spans="1:4">
      <c r="A132" s="87" t="s">
        <v>192</v>
      </c>
      <c r="B132" s="109">
        <f t="shared" si="2"/>
        <v>0.416666666666667</v>
      </c>
      <c r="C132" s="88" t="s">
        <v>15</v>
      </c>
      <c r="D132" s="89">
        <v>513</v>
      </c>
    </row>
    <row r="133" spans="1:4">
      <c r="A133" s="87" t="s">
        <v>193</v>
      </c>
      <c r="B133" s="109">
        <f t="shared" si="2"/>
        <v>0.458333333333333</v>
      </c>
      <c r="C133" s="88" t="s">
        <v>17</v>
      </c>
      <c r="D133" s="89">
        <v>46</v>
      </c>
    </row>
    <row r="134" spans="1:4">
      <c r="A134" s="87" t="s">
        <v>194</v>
      </c>
      <c r="B134" s="109">
        <f t="shared" si="2"/>
        <v>0.5</v>
      </c>
      <c r="C134" s="88" t="s">
        <v>19</v>
      </c>
      <c r="D134" s="89">
        <v>465</v>
      </c>
    </row>
    <row r="135" spans="1:4">
      <c r="A135" s="87" t="s">
        <v>195</v>
      </c>
      <c r="B135" s="109">
        <f t="shared" si="2"/>
        <v>0.541666666666667</v>
      </c>
      <c r="C135" s="88" t="s">
        <v>21</v>
      </c>
      <c r="D135" s="89">
        <v>235</v>
      </c>
    </row>
    <row r="136" spans="1:4">
      <c r="A136" s="87" t="s">
        <v>196</v>
      </c>
      <c r="B136" s="109">
        <f t="shared" si="2"/>
        <v>0.583333333333333</v>
      </c>
      <c r="C136" s="88" t="s">
        <v>23</v>
      </c>
      <c r="D136" s="89">
        <v>384</v>
      </c>
    </row>
    <row r="137" spans="1:4">
      <c r="A137" s="87" t="s">
        <v>197</v>
      </c>
      <c r="B137" s="109">
        <f t="shared" si="2"/>
        <v>0.625</v>
      </c>
      <c r="C137" s="88" t="s">
        <v>5</v>
      </c>
      <c r="D137" s="89">
        <v>164</v>
      </c>
    </row>
    <row r="138" spans="1:4">
      <c r="A138" s="87" t="s">
        <v>198</v>
      </c>
      <c r="B138" s="109">
        <f t="shared" si="2"/>
        <v>0.666666666666667</v>
      </c>
      <c r="C138" s="88" t="s">
        <v>7</v>
      </c>
      <c r="D138" s="89">
        <v>216</v>
      </c>
    </row>
    <row r="139" spans="1:4">
      <c r="A139" s="87" t="s">
        <v>199</v>
      </c>
      <c r="B139" s="109">
        <f t="shared" si="2"/>
        <v>0.708333333333333</v>
      </c>
      <c r="C139" s="88" t="s">
        <v>9</v>
      </c>
      <c r="D139" s="89">
        <v>426</v>
      </c>
    </row>
    <row r="140" spans="1:4">
      <c r="A140" s="87" t="s">
        <v>200</v>
      </c>
      <c r="B140" s="109">
        <f t="shared" si="2"/>
        <v>0.75</v>
      </c>
      <c r="C140" s="88" t="s">
        <v>11</v>
      </c>
      <c r="D140" s="89">
        <v>502</v>
      </c>
    </row>
    <row r="141" spans="1:4">
      <c r="A141" s="87" t="s">
        <v>201</v>
      </c>
      <c r="B141" s="109">
        <f t="shared" si="2"/>
        <v>0.791666666666667</v>
      </c>
      <c r="C141" s="88" t="s">
        <v>13</v>
      </c>
      <c r="D141" s="89">
        <v>149</v>
      </c>
    </row>
    <row r="142" spans="1:4">
      <c r="A142" s="87" t="s">
        <v>202</v>
      </c>
      <c r="B142" s="109">
        <f t="shared" si="2"/>
        <v>0.833333333333333</v>
      </c>
      <c r="C142" s="88" t="s">
        <v>15</v>
      </c>
      <c r="D142" s="89">
        <v>425</v>
      </c>
    </row>
    <row r="143" spans="1:4">
      <c r="A143" s="87" t="s">
        <v>203</v>
      </c>
      <c r="B143" s="109">
        <f t="shared" si="2"/>
        <v>0.875</v>
      </c>
      <c r="C143" s="88" t="s">
        <v>17</v>
      </c>
      <c r="D143" s="89">
        <v>462</v>
      </c>
    </row>
    <row r="144" spans="1:4">
      <c r="A144" s="87" t="s">
        <v>204</v>
      </c>
      <c r="B144" s="109">
        <f t="shared" si="2"/>
        <v>0.916666666666667</v>
      </c>
      <c r="C144" s="88" t="s">
        <v>19</v>
      </c>
      <c r="D144" s="89">
        <v>196</v>
      </c>
    </row>
    <row r="145" spans="1:4">
      <c r="A145" s="87" t="s">
        <v>205</v>
      </c>
      <c r="B145" s="109">
        <f t="shared" si="2"/>
        <v>0.958333333333333</v>
      </c>
      <c r="C145" s="88" t="s">
        <v>21</v>
      </c>
      <c r="D145" s="89">
        <v>88</v>
      </c>
    </row>
    <row r="146" spans="1:4">
      <c r="A146" s="87" t="s">
        <v>206</v>
      </c>
      <c r="B146" s="109">
        <f t="shared" si="2"/>
        <v>0</v>
      </c>
      <c r="C146" s="88" t="s">
        <v>23</v>
      </c>
      <c r="D146" s="89">
        <v>188</v>
      </c>
    </row>
    <row r="147" spans="1:4">
      <c r="A147" s="87" t="s">
        <v>207</v>
      </c>
      <c r="B147" s="109">
        <f t="shared" si="2"/>
        <v>0.0416666666666667</v>
      </c>
      <c r="C147" s="88" t="s">
        <v>5</v>
      </c>
      <c r="D147" s="89">
        <v>590</v>
      </c>
    </row>
    <row r="148" spans="1:4">
      <c r="A148" s="87" t="s">
        <v>208</v>
      </c>
      <c r="B148" s="109">
        <f t="shared" si="2"/>
        <v>0.0833333333333333</v>
      </c>
      <c r="C148" s="88" t="s">
        <v>7</v>
      </c>
      <c r="D148" s="89">
        <v>355</v>
      </c>
    </row>
    <row r="149" spans="1:4">
      <c r="A149" s="87" t="s">
        <v>209</v>
      </c>
      <c r="B149" s="109">
        <f t="shared" si="2"/>
        <v>0.125</v>
      </c>
      <c r="C149" s="88" t="s">
        <v>9</v>
      </c>
      <c r="D149" s="89">
        <v>218</v>
      </c>
    </row>
    <row r="150" spans="1:4">
      <c r="A150" s="87" t="s">
        <v>210</v>
      </c>
      <c r="B150" s="109">
        <f t="shared" si="2"/>
        <v>0.166666666666667</v>
      </c>
      <c r="C150" s="88" t="s">
        <v>11</v>
      </c>
      <c r="D150" s="89">
        <v>619</v>
      </c>
    </row>
    <row r="151" spans="1:4">
      <c r="A151" s="87" t="s">
        <v>211</v>
      </c>
      <c r="B151" s="109">
        <f t="shared" si="2"/>
        <v>0.208333333333333</v>
      </c>
      <c r="C151" s="88" t="s">
        <v>13</v>
      </c>
      <c r="D151" s="89">
        <v>28</v>
      </c>
    </row>
    <row r="152" spans="1:4">
      <c r="A152" s="87" t="s">
        <v>212</v>
      </c>
      <c r="B152" s="109">
        <f t="shared" si="2"/>
        <v>0.25</v>
      </c>
      <c r="C152" s="88" t="s">
        <v>15</v>
      </c>
      <c r="D152" s="89">
        <v>538</v>
      </c>
    </row>
    <row r="153" spans="1:4">
      <c r="A153" s="87" t="s">
        <v>213</v>
      </c>
      <c r="B153" s="109">
        <f t="shared" si="2"/>
        <v>0.291666666666667</v>
      </c>
      <c r="C153" s="88" t="s">
        <v>17</v>
      </c>
      <c r="D153" s="89">
        <v>407</v>
      </c>
    </row>
    <row r="154" spans="1:4">
      <c r="A154" s="87" t="s">
        <v>214</v>
      </c>
      <c r="B154" s="109">
        <f t="shared" si="2"/>
        <v>0.333333333333333</v>
      </c>
      <c r="C154" s="88" t="s">
        <v>19</v>
      </c>
      <c r="D154" s="89">
        <v>553</v>
      </c>
    </row>
    <row r="155" spans="1:4">
      <c r="A155" s="87" t="s">
        <v>215</v>
      </c>
      <c r="B155" s="109">
        <f t="shared" si="2"/>
        <v>0.375</v>
      </c>
      <c r="C155" s="88" t="s">
        <v>21</v>
      </c>
      <c r="D155" s="89">
        <v>561</v>
      </c>
    </row>
    <row r="156" spans="1:4">
      <c r="A156" s="87" t="s">
        <v>216</v>
      </c>
      <c r="B156" s="109">
        <f t="shared" si="2"/>
        <v>0.416666666666667</v>
      </c>
      <c r="C156" s="88" t="s">
        <v>23</v>
      </c>
      <c r="D156" s="89">
        <v>139</v>
      </c>
    </row>
    <row r="157" spans="1:4">
      <c r="A157" s="87" t="s">
        <v>217</v>
      </c>
      <c r="B157" s="109">
        <f t="shared" si="2"/>
        <v>0.458333333333333</v>
      </c>
      <c r="C157" s="88" t="s">
        <v>5</v>
      </c>
      <c r="D157" s="89">
        <v>128</v>
      </c>
    </row>
    <row r="158" spans="1:4">
      <c r="A158" s="87" t="s">
        <v>218</v>
      </c>
      <c r="B158" s="109">
        <f t="shared" si="2"/>
        <v>0.5</v>
      </c>
      <c r="C158" s="88" t="s">
        <v>7</v>
      </c>
      <c r="D158" s="89">
        <v>436</v>
      </c>
    </row>
    <row r="159" spans="1:4">
      <c r="A159" s="87" t="s">
        <v>219</v>
      </c>
      <c r="B159" s="109">
        <f t="shared" si="2"/>
        <v>0.541666666666667</v>
      </c>
      <c r="C159" s="88" t="s">
        <v>9</v>
      </c>
      <c r="D159" s="89">
        <v>179</v>
      </c>
    </row>
    <row r="160" spans="1:4">
      <c r="A160" s="87" t="s">
        <v>220</v>
      </c>
      <c r="B160" s="109">
        <f t="shared" si="2"/>
        <v>0.583333333333333</v>
      </c>
      <c r="C160" s="88" t="s">
        <v>11</v>
      </c>
      <c r="D160" s="89">
        <v>433</v>
      </c>
    </row>
    <row r="161" spans="1:4">
      <c r="A161" s="87" t="s">
        <v>221</v>
      </c>
      <c r="B161" s="109">
        <f t="shared" si="2"/>
        <v>0.625</v>
      </c>
      <c r="C161" s="88" t="s">
        <v>13</v>
      </c>
      <c r="D161" s="89">
        <v>331</v>
      </c>
    </row>
    <row r="162" spans="1:4">
      <c r="A162" s="87" t="s">
        <v>222</v>
      </c>
      <c r="B162" s="109">
        <f t="shared" si="2"/>
        <v>0.666666666666667</v>
      </c>
      <c r="C162" s="88" t="s">
        <v>15</v>
      </c>
      <c r="D162" s="89">
        <v>322</v>
      </c>
    </row>
    <row r="163" spans="1:4">
      <c r="A163" s="87" t="s">
        <v>223</v>
      </c>
      <c r="B163" s="109">
        <f t="shared" si="2"/>
        <v>0.708333333333333</v>
      </c>
      <c r="C163" s="88" t="s">
        <v>17</v>
      </c>
      <c r="D163" s="89">
        <v>77</v>
      </c>
    </row>
    <row r="164" spans="1:4">
      <c r="A164" s="87" t="s">
        <v>224</v>
      </c>
      <c r="B164" s="109">
        <f t="shared" si="2"/>
        <v>0.75</v>
      </c>
      <c r="C164" s="88" t="s">
        <v>19</v>
      </c>
      <c r="D164" s="89">
        <v>263</v>
      </c>
    </row>
    <row r="165" spans="1:4">
      <c r="A165" s="87" t="s">
        <v>225</v>
      </c>
      <c r="B165" s="109">
        <f t="shared" si="2"/>
        <v>0.791666666666667</v>
      </c>
      <c r="C165" s="88" t="s">
        <v>21</v>
      </c>
      <c r="D165" s="89">
        <v>86</v>
      </c>
    </row>
    <row r="166" spans="1:4">
      <c r="A166" s="87" t="s">
        <v>226</v>
      </c>
      <c r="B166" s="109">
        <f t="shared" si="2"/>
        <v>0.833333333333333</v>
      </c>
      <c r="C166" s="88" t="s">
        <v>23</v>
      </c>
      <c r="D166" s="89">
        <v>526</v>
      </c>
    </row>
    <row r="167" spans="1:4">
      <c r="A167" s="87" t="s">
        <v>227</v>
      </c>
      <c r="B167" s="109">
        <f t="shared" si="2"/>
        <v>0.875</v>
      </c>
      <c r="C167" s="88" t="s">
        <v>5</v>
      </c>
      <c r="D167" s="89">
        <v>587</v>
      </c>
    </row>
    <row r="168" spans="1:4">
      <c r="A168" s="87" t="s">
        <v>228</v>
      </c>
      <c r="B168" s="109">
        <f t="shared" si="2"/>
        <v>0.916666666666667</v>
      </c>
      <c r="C168" s="88" t="s">
        <v>7</v>
      </c>
      <c r="D168" s="89">
        <v>9</v>
      </c>
    </row>
    <row r="169" spans="1:4">
      <c r="A169" s="87" t="s">
        <v>229</v>
      </c>
      <c r="B169" s="109">
        <f t="shared" si="2"/>
        <v>0.958333333333333</v>
      </c>
      <c r="C169" s="88" t="s">
        <v>9</v>
      </c>
      <c r="D169" s="89">
        <v>124</v>
      </c>
    </row>
    <row r="170" spans="1:4">
      <c r="A170" s="87" t="s">
        <v>230</v>
      </c>
      <c r="B170" s="109">
        <f t="shared" si="2"/>
        <v>0</v>
      </c>
      <c r="C170" s="88" t="s">
        <v>11</v>
      </c>
      <c r="D170" s="89">
        <v>572</v>
      </c>
    </row>
    <row r="171" spans="1:4">
      <c r="A171" s="87" t="s">
        <v>231</v>
      </c>
      <c r="B171" s="109">
        <f t="shared" si="2"/>
        <v>0.0416666666666667</v>
      </c>
      <c r="C171" s="88" t="s">
        <v>13</v>
      </c>
      <c r="D171" s="89">
        <v>80</v>
      </c>
    </row>
    <row r="172" spans="1:4">
      <c r="A172" s="87" t="s">
        <v>232</v>
      </c>
      <c r="B172" s="109">
        <f t="shared" si="2"/>
        <v>0.0833333333333333</v>
      </c>
      <c r="C172" s="88" t="s">
        <v>15</v>
      </c>
      <c r="D172" s="89">
        <v>170</v>
      </c>
    </row>
    <row r="173" spans="1:4">
      <c r="A173" s="87" t="s">
        <v>233</v>
      </c>
      <c r="B173" s="109">
        <f t="shared" si="2"/>
        <v>0.125</v>
      </c>
      <c r="C173" s="88" t="s">
        <v>17</v>
      </c>
      <c r="D173" s="89">
        <v>599</v>
      </c>
    </row>
    <row r="174" spans="1:4">
      <c r="A174" s="87" t="s">
        <v>234</v>
      </c>
      <c r="B174" s="109">
        <f t="shared" si="2"/>
        <v>0.166666666666667</v>
      </c>
      <c r="C174" s="88" t="s">
        <v>19</v>
      </c>
      <c r="D174" s="89">
        <v>85</v>
      </c>
    </row>
    <row r="175" spans="1:4">
      <c r="A175" s="87" t="s">
        <v>235</v>
      </c>
      <c r="B175" s="109">
        <f t="shared" si="2"/>
        <v>0.208333333333333</v>
      </c>
      <c r="C175" s="88" t="s">
        <v>21</v>
      </c>
      <c r="D175" s="89">
        <v>556</v>
      </c>
    </row>
    <row r="176" spans="1:4">
      <c r="A176" s="87" t="s">
        <v>236</v>
      </c>
      <c r="B176" s="109">
        <f t="shared" si="2"/>
        <v>0.25</v>
      </c>
      <c r="C176" s="88" t="s">
        <v>23</v>
      </c>
      <c r="D176" s="89">
        <v>463</v>
      </c>
    </row>
    <row r="177" spans="1:4">
      <c r="A177" s="87" t="s">
        <v>237</v>
      </c>
      <c r="B177" s="109">
        <f t="shared" si="2"/>
        <v>0.291666666666667</v>
      </c>
      <c r="C177" s="88" t="s">
        <v>5</v>
      </c>
      <c r="D177" s="89">
        <v>588</v>
      </c>
    </row>
    <row r="178" spans="1:4">
      <c r="A178" s="87" t="s">
        <v>238</v>
      </c>
      <c r="B178" s="109">
        <f t="shared" si="2"/>
        <v>0.333333333333333</v>
      </c>
      <c r="C178" s="88" t="s">
        <v>7</v>
      </c>
      <c r="D178" s="89">
        <v>316</v>
      </c>
    </row>
    <row r="179" spans="1:4">
      <c r="A179" s="87" t="s">
        <v>239</v>
      </c>
      <c r="B179" s="109">
        <f t="shared" si="2"/>
        <v>0.375</v>
      </c>
      <c r="C179" s="88" t="s">
        <v>9</v>
      </c>
      <c r="D179" s="89">
        <v>483</v>
      </c>
    </row>
    <row r="180" spans="1:4">
      <c r="A180" s="87" t="s">
        <v>240</v>
      </c>
      <c r="B180" s="109">
        <f t="shared" si="2"/>
        <v>0.416666666666667</v>
      </c>
      <c r="C180" s="88" t="s">
        <v>11</v>
      </c>
      <c r="D180" s="89">
        <v>336</v>
      </c>
    </row>
    <row r="181" spans="1:4">
      <c r="A181" s="87" t="s">
        <v>241</v>
      </c>
      <c r="B181" s="109">
        <f t="shared" si="2"/>
        <v>0.458333333333333</v>
      </c>
      <c r="C181" s="88" t="s">
        <v>13</v>
      </c>
      <c r="D181" s="89">
        <v>402</v>
      </c>
    </row>
    <row r="182" spans="1:4">
      <c r="A182" s="87" t="s">
        <v>242</v>
      </c>
      <c r="B182" s="109">
        <f t="shared" si="2"/>
        <v>0.5</v>
      </c>
      <c r="C182" s="88" t="s">
        <v>15</v>
      </c>
      <c r="D182" s="89">
        <v>523</v>
      </c>
    </row>
    <row r="183" spans="1:4">
      <c r="A183" s="87" t="s">
        <v>243</v>
      </c>
      <c r="B183" s="109">
        <f t="shared" si="2"/>
        <v>0.541666666666667</v>
      </c>
      <c r="C183" s="88" t="s">
        <v>17</v>
      </c>
      <c r="D183" s="89">
        <v>589</v>
      </c>
    </row>
    <row r="184" spans="1:4">
      <c r="A184" s="87" t="s">
        <v>244</v>
      </c>
      <c r="B184" s="109">
        <f t="shared" si="2"/>
        <v>0.583333333333333</v>
      </c>
      <c r="C184" s="88" t="s">
        <v>19</v>
      </c>
      <c r="D184" s="89">
        <v>24</v>
      </c>
    </row>
    <row r="185" spans="1:4">
      <c r="A185" s="87" t="s">
        <v>245</v>
      </c>
      <c r="B185" s="109">
        <f t="shared" si="2"/>
        <v>0.625</v>
      </c>
      <c r="C185" s="88" t="s">
        <v>21</v>
      </c>
      <c r="D185" s="89">
        <v>380</v>
      </c>
    </row>
    <row r="186" spans="1:4">
      <c r="A186" s="87" t="s">
        <v>246</v>
      </c>
      <c r="B186" s="109">
        <f t="shared" si="2"/>
        <v>0.666666666666667</v>
      </c>
      <c r="C186" s="88" t="s">
        <v>23</v>
      </c>
      <c r="D186" s="89">
        <v>573</v>
      </c>
    </row>
    <row r="187" spans="1:4">
      <c r="A187" s="87" t="s">
        <v>247</v>
      </c>
      <c r="B187" s="109">
        <f t="shared" si="2"/>
        <v>0.708333333333333</v>
      </c>
      <c r="C187" s="88" t="s">
        <v>5</v>
      </c>
      <c r="D187" s="89">
        <v>533</v>
      </c>
    </row>
    <row r="188" spans="1:4">
      <c r="A188" s="87" t="s">
        <v>248</v>
      </c>
      <c r="B188" s="109">
        <f t="shared" si="2"/>
        <v>0.75</v>
      </c>
      <c r="C188" s="88" t="s">
        <v>7</v>
      </c>
      <c r="D188" s="89">
        <v>120</v>
      </c>
    </row>
    <row r="189" spans="1:4">
      <c r="A189" s="87" t="s">
        <v>249</v>
      </c>
      <c r="B189" s="109">
        <f t="shared" si="2"/>
        <v>0.791666666666667</v>
      </c>
      <c r="C189" s="88" t="s">
        <v>9</v>
      </c>
      <c r="D189" s="89">
        <v>574</v>
      </c>
    </row>
    <row r="190" spans="1:4">
      <c r="A190" s="87" t="s">
        <v>250</v>
      </c>
      <c r="B190" s="109">
        <f t="shared" si="2"/>
        <v>0.833333333333333</v>
      </c>
      <c r="C190" s="88" t="s">
        <v>11</v>
      </c>
      <c r="D190" s="89">
        <v>312</v>
      </c>
    </row>
    <row r="191" spans="1:4">
      <c r="A191" s="87" t="s">
        <v>251</v>
      </c>
      <c r="B191" s="109">
        <f t="shared" si="2"/>
        <v>0.875</v>
      </c>
      <c r="C191" s="88" t="s">
        <v>13</v>
      </c>
      <c r="D191" s="89">
        <v>510</v>
      </c>
    </row>
    <row r="192" spans="1:4">
      <c r="A192" s="87" t="s">
        <v>252</v>
      </c>
      <c r="B192" s="109">
        <f t="shared" si="2"/>
        <v>0.916666666666667</v>
      </c>
      <c r="C192" s="88" t="s">
        <v>15</v>
      </c>
      <c r="D192" s="89">
        <v>408</v>
      </c>
    </row>
    <row r="193" spans="1:4">
      <c r="A193" s="87" t="s">
        <v>253</v>
      </c>
      <c r="B193" s="109">
        <f t="shared" si="2"/>
        <v>0.958333333333333</v>
      </c>
      <c r="C193" s="88" t="s">
        <v>17</v>
      </c>
      <c r="D193" s="89">
        <v>155</v>
      </c>
    </row>
    <row r="194" spans="1:4">
      <c r="A194" s="87" t="s">
        <v>254</v>
      </c>
      <c r="B194" s="109">
        <f t="shared" si="2"/>
        <v>0</v>
      </c>
      <c r="C194" s="88" t="s">
        <v>19</v>
      </c>
      <c r="D194" s="89">
        <v>390</v>
      </c>
    </row>
    <row r="195" spans="1:4">
      <c r="A195" s="87" t="s">
        <v>255</v>
      </c>
      <c r="B195" s="109">
        <f t="shared" ref="B195:B258" si="3">TIME(VALUE(RIGHT(A195,2)),0,0)</f>
        <v>0.0416666666666667</v>
      </c>
      <c r="C195" s="88" t="s">
        <v>21</v>
      </c>
      <c r="D195" s="89">
        <v>251</v>
      </c>
    </row>
    <row r="196" spans="1:4">
      <c r="A196" s="87" t="s">
        <v>256</v>
      </c>
      <c r="B196" s="109">
        <f t="shared" si="3"/>
        <v>0.0833333333333333</v>
      </c>
      <c r="C196" s="88" t="s">
        <v>23</v>
      </c>
      <c r="D196" s="89">
        <v>401</v>
      </c>
    </row>
    <row r="197" spans="1:4">
      <c r="A197" s="87" t="s">
        <v>257</v>
      </c>
      <c r="B197" s="109">
        <f t="shared" si="3"/>
        <v>0.125</v>
      </c>
      <c r="C197" s="88" t="s">
        <v>5</v>
      </c>
      <c r="D197" s="89">
        <v>5</v>
      </c>
    </row>
    <row r="198" spans="1:4">
      <c r="A198" s="87" t="s">
        <v>258</v>
      </c>
      <c r="B198" s="109">
        <f t="shared" si="3"/>
        <v>0.166666666666667</v>
      </c>
      <c r="C198" s="88" t="s">
        <v>7</v>
      </c>
      <c r="D198" s="89">
        <v>53</v>
      </c>
    </row>
    <row r="199" spans="1:4">
      <c r="A199" s="87" t="s">
        <v>259</v>
      </c>
      <c r="B199" s="109">
        <f t="shared" si="3"/>
        <v>0.208333333333333</v>
      </c>
      <c r="C199" s="88" t="s">
        <v>9</v>
      </c>
      <c r="D199" s="89">
        <v>121</v>
      </c>
    </row>
    <row r="200" spans="1:4">
      <c r="A200" s="87" t="s">
        <v>260</v>
      </c>
      <c r="B200" s="109">
        <f t="shared" si="3"/>
        <v>0.25</v>
      </c>
      <c r="C200" s="88" t="s">
        <v>11</v>
      </c>
      <c r="D200" s="89">
        <v>431</v>
      </c>
    </row>
    <row r="201" spans="1:4">
      <c r="A201" s="87" t="s">
        <v>261</v>
      </c>
      <c r="B201" s="109">
        <f t="shared" si="3"/>
        <v>0.291666666666667</v>
      </c>
      <c r="C201" s="88" t="s">
        <v>13</v>
      </c>
      <c r="D201" s="89">
        <v>199</v>
      </c>
    </row>
    <row r="202" spans="1:4">
      <c r="A202" s="87" t="s">
        <v>262</v>
      </c>
      <c r="B202" s="109">
        <f t="shared" si="3"/>
        <v>0.333333333333333</v>
      </c>
      <c r="C202" s="88" t="s">
        <v>15</v>
      </c>
      <c r="D202" s="89">
        <v>89</v>
      </c>
    </row>
    <row r="203" spans="1:4">
      <c r="A203" s="87" t="s">
        <v>263</v>
      </c>
      <c r="B203" s="109">
        <f t="shared" si="3"/>
        <v>0.375</v>
      </c>
      <c r="C203" s="88" t="s">
        <v>17</v>
      </c>
      <c r="D203" s="89">
        <v>292</v>
      </c>
    </row>
    <row r="204" spans="1:4">
      <c r="A204" s="87" t="s">
        <v>264</v>
      </c>
      <c r="B204" s="109">
        <f t="shared" si="3"/>
        <v>0.416666666666667</v>
      </c>
      <c r="C204" s="88" t="s">
        <v>19</v>
      </c>
      <c r="D204" s="89">
        <v>508</v>
      </c>
    </row>
    <row r="205" spans="1:4">
      <c r="A205" s="87" t="s">
        <v>265</v>
      </c>
      <c r="B205" s="109">
        <f t="shared" si="3"/>
        <v>0.458333333333333</v>
      </c>
      <c r="C205" s="88" t="s">
        <v>21</v>
      </c>
      <c r="D205" s="89">
        <v>275</v>
      </c>
    </row>
    <row r="206" spans="1:4">
      <c r="A206" s="87" t="s">
        <v>266</v>
      </c>
      <c r="B206" s="109">
        <f t="shared" si="3"/>
        <v>0.5</v>
      </c>
      <c r="C206" s="88" t="s">
        <v>23</v>
      </c>
      <c r="D206" s="89">
        <v>520</v>
      </c>
    </row>
    <row r="207" spans="1:4">
      <c r="A207" s="87" t="s">
        <v>267</v>
      </c>
      <c r="B207" s="109">
        <f t="shared" si="3"/>
        <v>0.541666666666667</v>
      </c>
      <c r="C207" s="88" t="s">
        <v>5</v>
      </c>
      <c r="D207" s="89">
        <v>378</v>
      </c>
    </row>
    <row r="208" spans="1:4">
      <c r="A208" s="87" t="s">
        <v>268</v>
      </c>
      <c r="B208" s="109">
        <f t="shared" si="3"/>
        <v>0.583333333333333</v>
      </c>
      <c r="C208" s="88" t="s">
        <v>7</v>
      </c>
      <c r="D208" s="89">
        <v>624</v>
      </c>
    </row>
    <row r="209" spans="1:4">
      <c r="A209" s="87" t="s">
        <v>269</v>
      </c>
      <c r="B209" s="109">
        <f t="shared" si="3"/>
        <v>0.625</v>
      </c>
      <c r="C209" s="88" t="s">
        <v>9</v>
      </c>
      <c r="D209" s="89">
        <v>73</v>
      </c>
    </row>
    <row r="210" spans="1:4">
      <c r="A210" s="87" t="s">
        <v>270</v>
      </c>
      <c r="B210" s="109">
        <f t="shared" si="3"/>
        <v>0.666666666666667</v>
      </c>
      <c r="C210" s="88" t="s">
        <v>11</v>
      </c>
      <c r="D210" s="89">
        <v>569</v>
      </c>
    </row>
    <row r="211" spans="1:4">
      <c r="A211" s="87" t="s">
        <v>271</v>
      </c>
      <c r="B211" s="109">
        <f t="shared" si="3"/>
        <v>0.708333333333333</v>
      </c>
      <c r="C211" s="88" t="s">
        <v>13</v>
      </c>
      <c r="D211" s="89">
        <v>634</v>
      </c>
    </row>
    <row r="212" spans="1:4">
      <c r="A212" s="87" t="s">
        <v>272</v>
      </c>
      <c r="B212" s="109">
        <f t="shared" si="3"/>
        <v>0.75</v>
      </c>
      <c r="C212" s="88" t="s">
        <v>15</v>
      </c>
      <c r="D212" s="89">
        <v>27</v>
      </c>
    </row>
    <row r="213" spans="1:4">
      <c r="A213" s="87" t="s">
        <v>273</v>
      </c>
      <c r="B213" s="109">
        <f t="shared" si="3"/>
        <v>0.791666666666667</v>
      </c>
      <c r="C213" s="88" t="s">
        <v>17</v>
      </c>
      <c r="D213" s="89">
        <v>642</v>
      </c>
    </row>
    <row r="214" spans="1:4">
      <c r="A214" s="87" t="s">
        <v>274</v>
      </c>
      <c r="B214" s="109">
        <f t="shared" si="3"/>
        <v>0.833333333333333</v>
      </c>
      <c r="C214" s="88" t="s">
        <v>19</v>
      </c>
      <c r="D214" s="89">
        <v>201</v>
      </c>
    </row>
    <row r="215" spans="1:4">
      <c r="A215" s="87" t="s">
        <v>275</v>
      </c>
      <c r="B215" s="109">
        <f t="shared" si="3"/>
        <v>0.875</v>
      </c>
      <c r="C215" s="88" t="s">
        <v>21</v>
      </c>
      <c r="D215" s="89">
        <v>266</v>
      </c>
    </row>
    <row r="216" spans="1:4">
      <c r="A216" s="87" t="s">
        <v>276</v>
      </c>
      <c r="B216" s="109">
        <f t="shared" si="3"/>
        <v>0.916666666666667</v>
      </c>
      <c r="C216" s="88" t="s">
        <v>23</v>
      </c>
      <c r="D216" s="89">
        <v>512</v>
      </c>
    </row>
    <row r="217" spans="1:4">
      <c r="A217" s="87" t="s">
        <v>277</v>
      </c>
      <c r="B217" s="109">
        <f t="shared" si="3"/>
        <v>0.958333333333333</v>
      </c>
      <c r="C217" s="88" t="s">
        <v>5</v>
      </c>
      <c r="D217" s="89">
        <v>154</v>
      </c>
    </row>
    <row r="218" spans="1:4">
      <c r="A218" s="87" t="s">
        <v>326</v>
      </c>
      <c r="B218" s="109">
        <f t="shared" si="3"/>
        <v>0</v>
      </c>
      <c r="C218" s="88" t="s">
        <v>23</v>
      </c>
      <c r="D218" s="89">
        <v>394</v>
      </c>
    </row>
    <row r="219" spans="1:4">
      <c r="A219" s="87" t="s">
        <v>327</v>
      </c>
      <c r="B219" s="109">
        <f t="shared" si="3"/>
        <v>0.0416666666666667</v>
      </c>
      <c r="C219" s="88" t="s">
        <v>5</v>
      </c>
      <c r="D219" s="89">
        <v>566</v>
      </c>
    </row>
    <row r="220" spans="1:4">
      <c r="A220" s="87" t="s">
        <v>328</v>
      </c>
      <c r="B220" s="109">
        <f t="shared" si="3"/>
        <v>0.0833333333333333</v>
      </c>
      <c r="C220" s="88" t="s">
        <v>7</v>
      </c>
      <c r="D220" s="89">
        <v>497</v>
      </c>
    </row>
    <row r="221" spans="1:4">
      <c r="A221" s="87" t="s">
        <v>329</v>
      </c>
      <c r="B221" s="109">
        <f t="shared" si="3"/>
        <v>0.125</v>
      </c>
      <c r="C221" s="88" t="s">
        <v>9</v>
      </c>
      <c r="D221" s="89">
        <v>419</v>
      </c>
    </row>
    <row r="222" spans="1:4">
      <c r="A222" s="87" t="s">
        <v>330</v>
      </c>
      <c r="B222" s="109">
        <f t="shared" si="3"/>
        <v>0.166666666666667</v>
      </c>
      <c r="C222" s="88" t="s">
        <v>11</v>
      </c>
      <c r="D222" s="89">
        <v>530</v>
      </c>
    </row>
    <row r="223" spans="1:4">
      <c r="A223" s="87" t="s">
        <v>331</v>
      </c>
      <c r="B223" s="109">
        <f t="shared" si="3"/>
        <v>0.208333333333333</v>
      </c>
      <c r="C223" s="88" t="s">
        <v>13</v>
      </c>
      <c r="D223" s="89">
        <v>224</v>
      </c>
    </row>
    <row r="224" spans="1:4">
      <c r="A224" s="87" t="s">
        <v>332</v>
      </c>
      <c r="B224" s="109">
        <f t="shared" si="3"/>
        <v>0.25</v>
      </c>
      <c r="C224" s="88" t="s">
        <v>15</v>
      </c>
      <c r="D224" s="89">
        <v>177</v>
      </c>
    </row>
    <row r="225" spans="1:4">
      <c r="A225" s="87" t="s">
        <v>333</v>
      </c>
      <c r="B225" s="109">
        <f t="shared" si="3"/>
        <v>0.291666666666667</v>
      </c>
      <c r="C225" s="88" t="s">
        <v>17</v>
      </c>
      <c r="D225" s="89">
        <v>153</v>
      </c>
    </row>
    <row r="226" spans="1:4">
      <c r="A226" s="87" t="s">
        <v>334</v>
      </c>
      <c r="B226" s="109">
        <f t="shared" si="3"/>
        <v>0.333333333333333</v>
      </c>
      <c r="C226" s="88" t="s">
        <v>19</v>
      </c>
      <c r="D226" s="89">
        <v>637</v>
      </c>
    </row>
    <row r="227" spans="1:4">
      <c r="A227" s="87" t="s">
        <v>335</v>
      </c>
      <c r="B227" s="109">
        <f t="shared" si="3"/>
        <v>0.375</v>
      </c>
      <c r="C227" s="88" t="s">
        <v>21</v>
      </c>
      <c r="D227" s="89">
        <v>56</v>
      </c>
    </row>
    <row r="228" spans="1:4">
      <c r="A228" s="87" t="s">
        <v>336</v>
      </c>
      <c r="B228" s="109">
        <f t="shared" si="3"/>
        <v>0.416666666666667</v>
      </c>
      <c r="C228" s="88" t="s">
        <v>23</v>
      </c>
      <c r="D228" s="89">
        <v>477</v>
      </c>
    </row>
    <row r="229" spans="1:4">
      <c r="A229" s="87" t="s">
        <v>337</v>
      </c>
      <c r="B229" s="109">
        <f t="shared" si="3"/>
        <v>0.458333333333333</v>
      </c>
      <c r="C229" s="88" t="s">
        <v>5</v>
      </c>
      <c r="D229" s="89">
        <v>398</v>
      </c>
    </row>
    <row r="230" spans="1:4">
      <c r="A230" s="87" t="s">
        <v>338</v>
      </c>
      <c r="B230" s="109">
        <f t="shared" si="3"/>
        <v>0.5</v>
      </c>
      <c r="C230" s="88" t="s">
        <v>7</v>
      </c>
      <c r="D230" s="89">
        <v>416</v>
      </c>
    </row>
    <row r="231" spans="1:4">
      <c r="A231" s="87" t="s">
        <v>339</v>
      </c>
      <c r="B231" s="109">
        <f t="shared" si="3"/>
        <v>0.541666666666667</v>
      </c>
      <c r="C231" s="88" t="s">
        <v>9</v>
      </c>
      <c r="D231" s="89">
        <v>558</v>
      </c>
    </row>
    <row r="232" spans="1:4">
      <c r="A232" s="87" t="s">
        <v>340</v>
      </c>
      <c r="B232" s="109">
        <f t="shared" si="3"/>
        <v>0.583333333333333</v>
      </c>
      <c r="C232" s="88" t="s">
        <v>11</v>
      </c>
      <c r="D232" s="89">
        <v>329</v>
      </c>
    </row>
    <row r="233" spans="1:4">
      <c r="A233" s="87" t="s">
        <v>341</v>
      </c>
      <c r="B233" s="109">
        <f t="shared" si="3"/>
        <v>0.625</v>
      </c>
      <c r="C233" s="88" t="s">
        <v>13</v>
      </c>
      <c r="D233" s="89">
        <v>300</v>
      </c>
    </row>
    <row r="234" spans="1:4">
      <c r="A234" s="87" t="s">
        <v>342</v>
      </c>
      <c r="B234" s="109">
        <f t="shared" si="3"/>
        <v>0.666666666666667</v>
      </c>
      <c r="C234" s="88" t="s">
        <v>15</v>
      </c>
      <c r="D234" s="89">
        <v>145</v>
      </c>
    </row>
    <row r="235" spans="1:4">
      <c r="A235" s="87" t="s">
        <v>343</v>
      </c>
      <c r="B235" s="109">
        <f t="shared" si="3"/>
        <v>0.708333333333333</v>
      </c>
      <c r="C235" s="88" t="s">
        <v>17</v>
      </c>
      <c r="D235" s="89">
        <v>452</v>
      </c>
    </row>
    <row r="236" spans="1:4">
      <c r="A236" s="87" t="s">
        <v>344</v>
      </c>
      <c r="B236" s="109">
        <f t="shared" si="3"/>
        <v>0.75</v>
      </c>
      <c r="C236" s="88" t="s">
        <v>19</v>
      </c>
      <c r="D236" s="89">
        <v>577</v>
      </c>
    </row>
    <row r="237" spans="1:4">
      <c r="A237" s="87" t="s">
        <v>345</v>
      </c>
      <c r="B237" s="109">
        <f t="shared" si="3"/>
        <v>0.791666666666667</v>
      </c>
      <c r="C237" s="88" t="s">
        <v>21</v>
      </c>
      <c r="D237" s="89">
        <v>511</v>
      </c>
    </row>
    <row r="238" spans="1:4">
      <c r="A238" s="87" t="s">
        <v>346</v>
      </c>
      <c r="B238" s="109">
        <f t="shared" si="3"/>
        <v>0.833333333333333</v>
      </c>
      <c r="C238" s="88" t="s">
        <v>23</v>
      </c>
      <c r="D238" s="89">
        <v>543</v>
      </c>
    </row>
    <row r="239" spans="1:4">
      <c r="A239" s="87" t="s">
        <v>347</v>
      </c>
      <c r="B239" s="109">
        <f t="shared" si="3"/>
        <v>0.875</v>
      </c>
      <c r="C239" s="88" t="s">
        <v>5</v>
      </c>
      <c r="D239" s="89">
        <v>372</v>
      </c>
    </row>
    <row r="240" spans="1:4">
      <c r="A240" s="87" t="s">
        <v>348</v>
      </c>
      <c r="B240" s="109">
        <f t="shared" si="3"/>
        <v>0.916666666666667</v>
      </c>
      <c r="C240" s="88" t="s">
        <v>7</v>
      </c>
      <c r="D240" s="89">
        <v>183</v>
      </c>
    </row>
    <row r="241" spans="1:4">
      <c r="A241" s="87" t="s">
        <v>349</v>
      </c>
      <c r="B241" s="109">
        <f t="shared" si="3"/>
        <v>0.958333333333333</v>
      </c>
      <c r="C241" s="88" t="s">
        <v>9</v>
      </c>
      <c r="D241" s="89">
        <v>392</v>
      </c>
    </row>
    <row r="242" spans="1:4">
      <c r="A242" s="87" t="s">
        <v>350</v>
      </c>
      <c r="B242" s="109">
        <f t="shared" si="3"/>
        <v>0</v>
      </c>
      <c r="C242" s="88" t="s">
        <v>11</v>
      </c>
      <c r="D242" s="89">
        <v>460</v>
      </c>
    </row>
    <row r="243" spans="1:4">
      <c r="A243" s="87" t="s">
        <v>351</v>
      </c>
      <c r="B243" s="109">
        <f t="shared" si="3"/>
        <v>0.0416666666666667</v>
      </c>
      <c r="C243" s="88" t="s">
        <v>13</v>
      </c>
      <c r="D243" s="89">
        <v>112</v>
      </c>
    </row>
    <row r="244" spans="1:4">
      <c r="A244" s="87" t="s">
        <v>352</v>
      </c>
      <c r="B244" s="109">
        <f t="shared" si="3"/>
        <v>0.0833333333333333</v>
      </c>
      <c r="C244" s="88" t="s">
        <v>15</v>
      </c>
      <c r="D244" s="89">
        <v>103</v>
      </c>
    </row>
    <row r="245" spans="1:4">
      <c r="A245" s="87" t="s">
        <v>353</v>
      </c>
      <c r="B245" s="109">
        <f t="shared" si="3"/>
        <v>0.125</v>
      </c>
      <c r="C245" s="88" t="s">
        <v>17</v>
      </c>
      <c r="D245" s="89">
        <v>633</v>
      </c>
    </row>
    <row r="246" spans="1:4">
      <c r="A246" s="87" t="s">
        <v>354</v>
      </c>
      <c r="B246" s="109">
        <f t="shared" si="3"/>
        <v>0.166666666666667</v>
      </c>
      <c r="C246" s="88" t="s">
        <v>19</v>
      </c>
      <c r="D246" s="89">
        <v>541</v>
      </c>
    </row>
    <row r="247" spans="1:4">
      <c r="A247" s="87" t="s">
        <v>355</v>
      </c>
      <c r="B247" s="109">
        <f t="shared" si="3"/>
        <v>0.208333333333333</v>
      </c>
      <c r="C247" s="88" t="s">
        <v>21</v>
      </c>
      <c r="D247" s="89">
        <v>265</v>
      </c>
    </row>
    <row r="248" spans="1:4">
      <c r="A248" s="87" t="s">
        <v>356</v>
      </c>
      <c r="B248" s="109">
        <f t="shared" si="3"/>
        <v>0.25</v>
      </c>
      <c r="C248" s="88" t="s">
        <v>23</v>
      </c>
      <c r="D248" s="89">
        <v>17</v>
      </c>
    </row>
    <row r="249" spans="1:4">
      <c r="A249" s="87" t="s">
        <v>357</v>
      </c>
      <c r="B249" s="109">
        <f t="shared" si="3"/>
        <v>0.291666666666667</v>
      </c>
      <c r="C249" s="88" t="s">
        <v>5</v>
      </c>
      <c r="D249" s="89">
        <v>406</v>
      </c>
    </row>
    <row r="250" spans="1:4">
      <c r="A250" s="87" t="s">
        <v>358</v>
      </c>
      <c r="B250" s="109">
        <f t="shared" si="3"/>
        <v>0.333333333333333</v>
      </c>
      <c r="C250" s="88" t="s">
        <v>7</v>
      </c>
      <c r="D250" s="89">
        <v>476</v>
      </c>
    </row>
    <row r="251" spans="1:4">
      <c r="A251" s="87" t="s">
        <v>359</v>
      </c>
      <c r="B251" s="109">
        <f t="shared" si="3"/>
        <v>0.375</v>
      </c>
      <c r="C251" s="88" t="s">
        <v>9</v>
      </c>
      <c r="D251" s="89">
        <v>632</v>
      </c>
    </row>
    <row r="252" spans="1:4">
      <c r="A252" s="87" t="s">
        <v>360</v>
      </c>
      <c r="B252" s="109">
        <f t="shared" si="3"/>
        <v>0.416666666666667</v>
      </c>
      <c r="C252" s="88" t="s">
        <v>11</v>
      </c>
      <c r="D252" s="89">
        <v>192</v>
      </c>
    </row>
    <row r="253" spans="1:4">
      <c r="A253" s="87" t="s">
        <v>361</v>
      </c>
      <c r="B253" s="109">
        <f t="shared" si="3"/>
        <v>0.458333333333333</v>
      </c>
      <c r="C253" s="88" t="s">
        <v>13</v>
      </c>
      <c r="D253" s="89">
        <v>247</v>
      </c>
    </row>
    <row r="254" spans="1:4">
      <c r="A254" s="87" t="s">
        <v>362</v>
      </c>
      <c r="B254" s="109">
        <f t="shared" si="3"/>
        <v>0.5</v>
      </c>
      <c r="C254" s="88" t="s">
        <v>15</v>
      </c>
      <c r="D254" s="89">
        <v>638</v>
      </c>
    </row>
    <row r="255" spans="1:4">
      <c r="A255" s="87" t="s">
        <v>363</v>
      </c>
      <c r="B255" s="109">
        <f t="shared" si="3"/>
        <v>0.541666666666667</v>
      </c>
      <c r="C255" s="88" t="s">
        <v>17</v>
      </c>
      <c r="D255" s="89">
        <v>341</v>
      </c>
    </row>
    <row r="256" spans="1:4">
      <c r="A256" s="87" t="s">
        <v>364</v>
      </c>
      <c r="B256" s="109">
        <f t="shared" si="3"/>
        <v>0.583333333333333</v>
      </c>
      <c r="C256" s="88" t="s">
        <v>19</v>
      </c>
      <c r="D256" s="89">
        <v>109</v>
      </c>
    </row>
    <row r="257" spans="1:4">
      <c r="A257" s="87" t="s">
        <v>365</v>
      </c>
      <c r="B257" s="109">
        <f t="shared" si="3"/>
        <v>0.625</v>
      </c>
      <c r="C257" s="88" t="s">
        <v>21</v>
      </c>
      <c r="D257" s="89">
        <v>440</v>
      </c>
    </row>
    <row r="258" spans="1:4">
      <c r="A258" s="87" t="s">
        <v>366</v>
      </c>
      <c r="B258" s="109">
        <f t="shared" si="3"/>
        <v>0.666666666666667</v>
      </c>
      <c r="C258" s="88" t="s">
        <v>23</v>
      </c>
      <c r="D258" s="89">
        <v>544</v>
      </c>
    </row>
    <row r="259" spans="1:4">
      <c r="A259" s="87" t="s">
        <v>367</v>
      </c>
      <c r="B259" s="109">
        <f t="shared" ref="B259:B322" si="4">TIME(VALUE(RIGHT(A259,2)),0,0)</f>
        <v>0.708333333333333</v>
      </c>
      <c r="C259" s="88" t="s">
        <v>5</v>
      </c>
      <c r="D259" s="89">
        <v>75</v>
      </c>
    </row>
    <row r="260" spans="1:4">
      <c r="A260" s="87" t="s">
        <v>368</v>
      </c>
      <c r="B260" s="109">
        <f t="shared" si="4"/>
        <v>0.75</v>
      </c>
      <c r="C260" s="88" t="s">
        <v>7</v>
      </c>
      <c r="D260" s="89">
        <v>227</v>
      </c>
    </row>
    <row r="261" spans="1:4">
      <c r="A261" s="87" t="s">
        <v>369</v>
      </c>
      <c r="B261" s="109">
        <f t="shared" si="4"/>
        <v>0.791666666666667</v>
      </c>
      <c r="C261" s="88" t="s">
        <v>9</v>
      </c>
      <c r="D261" s="89">
        <v>210</v>
      </c>
    </row>
    <row r="262" spans="1:4">
      <c r="A262" s="87" t="s">
        <v>370</v>
      </c>
      <c r="B262" s="109">
        <f t="shared" si="4"/>
        <v>0.833333333333333</v>
      </c>
      <c r="C262" s="88" t="s">
        <v>11</v>
      </c>
      <c r="D262" s="89">
        <v>277</v>
      </c>
    </row>
    <row r="263" spans="1:4">
      <c r="A263" s="87" t="s">
        <v>371</v>
      </c>
      <c r="B263" s="109">
        <f t="shared" si="4"/>
        <v>0.875</v>
      </c>
      <c r="C263" s="88" t="s">
        <v>13</v>
      </c>
      <c r="D263" s="89">
        <v>93</v>
      </c>
    </row>
    <row r="264" spans="1:4">
      <c r="A264" s="87" t="s">
        <v>372</v>
      </c>
      <c r="B264" s="109">
        <f t="shared" si="4"/>
        <v>0.916666666666667</v>
      </c>
      <c r="C264" s="88" t="s">
        <v>15</v>
      </c>
      <c r="D264" s="89">
        <v>626</v>
      </c>
    </row>
    <row r="265" spans="1:4">
      <c r="A265" s="87" t="s">
        <v>373</v>
      </c>
      <c r="B265" s="109">
        <f t="shared" si="4"/>
        <v>0.958333333333333</v>
      </c>
      <c r="C265" s="88" t="s">
        <v>17</v>
      </c>
      <c r="D265" s="89">
        <v>157</v>
      </c>
    </row>
    <row r="266" spans="1:4">
      <c r="A266" s="87" t="s">
        <v>374</v>
      </c>
      <c r="B266" s="109">
        <f t="shared" si="4"/>
        <v>0</v>
      </c>
      <c r="C266" s="88" t="s">
        <v>19</v>
      </c>
      <c r="D266" s="89">
        <v>104</v>
      </c>
    </row>
    <row r="267" spans="1:4">
      <c r="A267" s="87" t="s">
        <v>375</v>
      </c>
      <c r="B267" s="109">
        <f t="shared" si="4"/>
        <v>0.0416666666666667</v>
      </c>
      <c r="C267" s="88" t="s">
        <v>21</v>
      </c>
      <c r="D267" s="89">
        <v>187</v>
      </c>
    </row>
    <row r="268" spans="1:4">
      <c r="A268" s="87" t="s">
        <v>376</v>
      </c>
      <c r="B268" s="109">
        <f t="shared" si="4"/>
        <v>0.0833333333333333</v>
      </c>
      <c r="C268" s="88" t="s">
        <v>23</v>
      </c>
      <c r="D268" s="89">
        <v>217</v>
      </c>
    </row>
    <row r="269" spans="1:4">
      <c r="A269" s="87" t="s">
        <v>377</v>
      </c>
      <c r="B269" s="109">
        <f t="shared" si="4"/>
        <v>0.125</v>
      </c>
      <c r="C269" s="88" t="s">
        <v>5</v>
      </c>
      <c r="D269" s="89">
        <v>295</v>
      </c>
    </row>
    <row r="270" spans="1:4">
      <c r="A270" s="87" t="s">
        <v>378</v>
      </c>
      <c r="B270" s="109">
        <f t="shared" si="4"/>
        <v>0.166666666666667</v>
      </c>
      <c r="C270" s="88" t="s">
        <v>7</v>
      </c>
      <c r="D270" s="89">
        <v>641</v>
      </c>
    </row>
    <row r="271" spans="1:4">
      <c r="A271" s="87" t="s">
        <v>379</v>
      </c>
      <c r="B271" s="109">
        <f t="shared" si="4"/>
        <v>0.208333333333333</v>
      </c>
      <c r="C271" s="88" t="s">
        <v>9</v>
      </c>
      <c r="D271" s="89">
        <v>345</v>
      </c>
    </row>
    <row r="272" spans="1:4">
      <c r="A272" s="87" t="s">
        <v>380</v>
      </c>
      <c r="B272" s="109">
        <f t="shared" si="4"/>
        <v>0.25</v>
      </c>
      <c r="C272" s="88" t="s">
        <v>11</v>
      </c>
      <c r="D272" s="89">
        <v>478</v>
      </c>
    </row>
    <row r="273" spans="1:4">
      <c r="A273" s="87" t="s">
        <v>381</v>
      </c>
      <c r="B273" s="109">
        <f t="shared" si="4"/>
        <v>0.291666666666667</v>
      </c>
      <c r="C273" s="88" t="s">
        <v>13</v>
      </c>
      <c r="D273" s="89">
        <v>84</v>
      </c>
    </row>
    <row r="274" spans="1:4">
      <c r="A274" s="87" t="s">
        <v>382</v>
      </c>
      <c r="B274" s="109">
        <f t="shared" si="4"/>
        <v>0.333333333333333</v>
      </c>
      <c r="C274" s="88" t="s">
        <v>15</v>
      </c>
      <c r="D274" s="89">
        <v>377</v>
      </c>
    </row>
    <row r="275" spans="1:4">
      <c r="A275" s="87" t="s">
        <v>383</v>
      </c>
      <c r="B275" s="109">
        <f t="shared" si="4"/>
        <v>0.375</v>
      </c>
      <c r="C275" s="88" t="s">
        <v>17</v>
      </c>
      <c r="D275" s="89">
        <v>473</v>
      </c>
    </row>
    <row r="276" spans="1:4">
      <c r="A276" s="87" t="s">
        <v>384</v>
      </c>
      <c r="B276" s="109">
        <f t="shared" si="4"/>
        <v>0.416666666666667</v>
      </c>
      <c r="C276" s="88" t="s">
        <v>19</v>
      </c>
      <c r="D276" s="89">
        <v>105</v>
      </c>
    </row>
    <row r="277" spans="1:4">
      <c r="A277" s="87" t="s">
        <v>385</v>
      </c>
      <c r="B277" s="109">
        <f t="shared" si="4"/>
        <v>0.458333333333333</v>
      </c>
      <c r="C277" s="88" t="s">
        <v>21</v>
      </c>
      <c r="D277" s="89">
        <v>567</v>
      </c>
    </row>
    <row r="278" spans="1:4">
      <c r="A278" s="87" t="s">
        <v>386</v>
      </c>
      <c r="B278" s="109">
        <f t="shared" si="4"/>
        <v>0.5</v>
      </c>
      <c r="C278" s="88" t="s">
        <v>23</v>
      </c>
      <c r="D278" s="89">
        <v>437</v>
      </c>
    </row>
    <row r="279" spans="1:4">
      <c r="A279" s="87" t="s">
        <v>387</v>
      </c>
      <c r="B279" s="109">
        <f t="shared" si="4"/>
        <v>0.541666666666667</v>
      </c>
      <c r="C279" s="88" t="s">
        <v>5</v>
      </c>
      <c r="D279" s="89">
        <v>203</v>
      </c>
    </row>
    <row r="280" spans="1:4">
      <c r="A280" s="87" t="s">
        <v>388</v>
      </c>
      <c r="B280" s="109">
        <f t="shared" si="4"/>
        <v>0.583333333333333</v>
      </c>
      <c r="C280" s="88" t="s">
        <v>7</v>
      </c>
      <c r="D280" s="89">
        <v>67</v>
      </c>
    </row>
    <row r="281" spans="1:4">
      <c r="A281" s="87" t="s">
        <v>389</v>
      </c>
      <c r="B281" s="109">
        <f t="shared" si="4"/>
        <v>0.625</v>
      </c>
      <c r="C281" s="88" t="s">
        <v>9</v>
      </c>
      <c r="D281" s="89">
        <v>110</v>
      </c>
    </row>
    <row r="282" spans="1:4">
      <c r="A282" s="87" t="s">
        <v>390</v>
      </c>
      <c r="B282" s="109">
        <f t="shared" si="4"/>
        <v>0.666666666666667</v>
      </c>
      <c r="C282" s="88" t="s">
        <v>11</v>
      </c>
      <c r="D282" s="89">
        <v>100</v>
      </c>
    </row>
    <row r="283" spans="1:4">
      <c r="A283" s="87" t="s">
        <v>391</v>
      </c>
      <c r="B283" s="109">
        <f t="shared" si="4"/>
        <v>0.708333333333333</v>
      </c>
      <c r="C283" s="88" t="s">
        <v>13</v>
      </c>
      <c r="D283" s="89">
        <v>643</v>
      </c>
    </row>
    <row r="284" spans="1:4">
      <c r="A284" s="87" t="s">
        <v>392</v>
      </c>
      <c r="B284" s="109">
        <f t="shared" si="4"/>
        <v>0.75</v>
      </c>
      <c r="C284" s="88" t="s">
        <v>15</v>
      </c>
      <c r="D284" s="89">
        <v>542</v>
      </c>
    </row>
    <row r="285" spans="1:4">
      <c r="A285" s="87" t="s">
        <v>393</v>
      </c>
      <c r="B285" s="109">
        <f t="shared" si="4"/>
        <v>0.791666666666667</v>
      </c>
      <c r="C285" s="88" t="s">
        <v>17</v>
      </c>
      <c r="D285" s="89">
        <v>302</v>
      </c>
    </row>
    <row r="286" spans="1:4">
      <c r="A286" s="87" t="s">
        <v>394</v>
      </c>
      <c r="B286" s="109">
        <f t="shared" si="4"/>
        <v>0.833333333333333</v>
      </c>
      <c r="C286" s="88" t="s">
        <v>19</v>
      </c>
      <c r="D286" s="89">
        <v>59</v>
      </c>
    </row>
    <row r="287" spans="1:4">
      <c r="A287" s="87" t="s">
        <v>395</v>
      </c>
      <c r="B287" s="109">
        <f t="shared" si="4"/>
        <v>0.875</v>
      </c>
      <c r="C287" s="88" t="s">
        <v>21</v>
      </c>
      <c r="D287" s="89">
        <v>330</v>
      </c>
    </row>
    <row r="288" spans="1:4">
      <c r="A288" s="87" t="s">
        <v>396</v>
      </c>
      <c r="B288" s="109">
        <f t="shared" si="4"/>
        <v>0.916666666666667</v>
      </c>
      <c r="C288" s="88" t="s">
        <v>23</v>
      </c>
      <c r="D288" s="89">
        <v>614</v>
      </c>
    </row>
    <row r="289" spans="1:4">
      <c r="A289" s="87" t="s">
        <v>397</v>
      </c>
      <c r="B289" s="109">
        <f t="shared" si="4"/>
        <v>0.958333333333333</v>
      </c>
      <c r="C289" s="88" t="s">
        <v>5</v>
      </c>
      <c r="D289" s="89">
        <v>388</v>
      </c>
    </row>
    <row r="290" spans="1:4">
      <c r="A290" s="87" t="s">
        <v>398</v>
      </c>
      <c r="B290" s="109">
        <f t="shared" si="4"/>
        <v>0</v>
      </c>
      <c r="C290" s="88" t="s">
        <v>7</v>
      </c>
      <c r="D290" s="89">
        <v>160</v>
      </c>
    </row>
    <row r="291" spans="1:4">
      <c r="A291" s="87" t="s">
        <v>399</v>
      </c>
      <c r="B291" s="109">
        <f t="shared" si="4"/>
        <v>0.0416666666666667</v>
      </c>
      <c r="C291" s="88" t="s">
        <v>9</v>
      </c>
      <c r="D291" s="89">
        <v>453</v>
      </c>
    </row>
    <row r="292" spans="1:4">
      <c r="A292" s="87" t="s">
        <v>400</v>
      </c>
      <c r="B292" s="109">
        <f t="shared" si="4"/>
        <v>0.0833333333333333</v>
      </c>
      <c r="C292" s="88" t="s">
        <v>11</v>
      </c>
      <c r="D292" s="89">
        <v>644</v>
      </c>
    </row>
    <row r="293" spans="1:4">
      <c r="A293" s="87" t="s">
        <v>401</v>
      </c>
      <c r="B293" s="109">
        <f t="shared" si="4"/>
        <v>0.125</v>
      </c>
      <c r="C293" s="88" t="s">
        <v>13</v>
      </c>
      <c r="D293" s="89">
        <v>16</v>
      </c>
    </row>
    <row r="294" spans="1:4">
      <c r="A294" s="87" t="s">
        <v>402</v>
      </c>
      <c r="B294" s="109">
        <f t="shared" si="4"/>
        <v>0.166666666666667</v>
      </c>
      <c r="C294" s="88" t="s">
        <v>15</v>
      </c>
      <c r="D294" s="89">
        <v>602</v>
      </c>
    </row>
    <row r="295" spans="1:4">
      <c r="A295" s="87" t="s">
        <v>403</v>
      </c>
      <c r="B295" s="109">
        <f t="shared" si="4"/>
        <v>0.208333333333333</v>
      </c>
      <c r="C295" s="88" t="s">
        <v>17</v>
      </c>
      <c r="D295" s="89">
        <v>12</v>
      </c>
    </row>
    <row r="296" spans="1:4">
      <c r="A296" s="87" t="s">
        <v>404</v>
      </c>
      <c r="B296" s="109">
        <f t="shared" si="4"/>
        <v>0.25</v>
      </c>
      <c r="C296" s="88" t="s">
        <v>19</v>
      </c>
      <c r="D296" s="89">
        <v>604</v>
      </c>
    </row>
    <row r="297" spans="1:4">
      <c r="A297" s="87" t="s">
        <v>405</v>
      </c>
      <c r="B297" s="109">
        <f t="shared" si="4"/>
        <v>0.291666666666667</v>
      </c>
      <c r="C297" s="88" t="s">
        <v>21</v>
      </c>
      <c r="D297" s="89">
        <v>347</v>
      </c>
    </row>
    <row r="298" spans="1:4">
      <c r="A298" s="87" t="s">
        <v>406</v>
      </c>
      <c r="B298" s="109">
        <f t="shared" si="4"/>
        <v>0.333333333333333</v>
      </c>
      <c r="C298" s="88" t="s">
        <v>23</v>
      </c>
      <c r="D298" s="89">
        <v>117</v>
      </c>
    </row>
    <row r="299" spans="1:4">
      <c r="A299" s="87" t="s">
        <v>407</v>
      </c>
      <c r="B299" s="109">
        <f t="shared" si="4"/>
        <v>0.375</v>
      </c>
      <c r="C299" s="88" t="s">
        <v>5</v>
      </c>
      <c r="D299" s="89">
        <v>532</v>
      </c>
    </row>
    <row r="300" spans="1:4">
      <c r="A300" s="87" t="s">
        <v>408</v>
      </c>
      <c r="B300" s="109">
        <f t="shared" si="4"/>
        <v>0.416666666666667</v>
      </c>
      <c r="C300" s="88" t="s">
        <v>7</v>
      </c>
      <c r="D300" s="89">
        <v>481</v>
      </c>
    </row>
    <row r="301" spans="1:4">
      <c r="A301" s="87" t="s">
        <v>409</v>
      </c>
      <c r="B301" s="109">
        <f t="shared" si="4"/>
        <v>0.458333333333333</v>
      </c>
      <c r="C301" s="88" t="s">
        <v>9</v>
      </c>
      <c r="D301" s="89">
        <v>116</v>
      </c>
    </row>
    <row r="302" spans="1:4">
      <c r="A302" s="87" t="s">
        <v>410</v>
      </c>
      <c r="B302" s="109">
        <f t="shared" si="4"/>
        <v>0.5</v>
      </c>
      <c r="C302" s="88" t="s">
        <v>11</v>
      </c>
      <c r="D302" s="89">
        <v>379</v>
      </c>
    </row>
    <row r="303" spans="1:4">
      <c r="A303" s="87" t="s">
        <v>411</v>
      </c>
      <c r="B303" s="109">
        <f t="shared" si="4"/>
        <v>0.541666666666667</v>
      </c>
      <c r="C303" s="88" t="s">
        <v>13</v>
      </c>
      <c r="D303" s="89">
        <v>522</v>
      </c>
    </row>
    <row r="304" spans="1:4">
      <c r="A304" s="87" t="s">
        <v>412</v>
      </c>
      <c r="B304" s="109">
        <f t="shared" si="4"/>
        <v>0.583333333333333</v>
      </c>
      <c r="C304" s="88" t="s">
        <v>15</v>
      </c>
      <c r="D304" s="89">
        <v>301</v>
      </c>
    </row>
    <row r="305" spans="1:4">
      <c r="A305" s="87" t="s">
        <v>413</v>
      </c>
      <c r="B305" s="109">
        <f t="shared" si="4"/>
        <v>0.625</v>
      </c>
      <c r="C305" s="88" t="s">
        <v>17</v>
      </c>
      <c r="D305" s="89">
        <v>451</v>
      </c>
    </row>
    <row r="306" spans="1:4">
      <c r="A306" s="87" t="s">
        <v>414</v>
      </c>
      <c r="B306" s="109">
        <f t="shared" si="4"/>
        <v>0.666666666666667</v>
      </c>
      <c r="C306" s="88" t="s">
        <v>19</v>
      </c>
      <c r="D306" s="89">
        <v>576</v>
      </c>
    </row>
    <row r="307" spans="1:4">
      <c r="A307" s="87" t="s">
        <v>415</v>
      </c>
      <c r="B307" s="109">
        <f t="shared" si="4"/>
        <v>0.708333333333333</v>
      </c>
      <c r="C307" s="88" t="s">
        <v>21</v>
      </c>
      <c r="D307" s="89">
        <v>113</v>
      </c>
    </row>
    <row r="308" spans="1:4">
      <c r="A308" s="87" t="s">
        <v>416</v>
      </c>
      <c r="B308" s="109">
        <f t="shared" si="4"/>
        <v>0.75</v>
      </c>
      <c r="C308" s="88" t="s">
        <v>23</v>
      </c>
      <c r="D308" s="89">
        <v>314</v>
      </c>
    </row>
    <row r="309" spans="1:4">
      <c r="A309" s="87" t="s">
        <v>417</v>
      </c>
      <c r="B309" s="109">
        <f t="shared" si="4"/>
        <v>0.791666666666667</v>
      </c>
      <c r="C309" s="88" t="s">
        <v>5</v>
      </c>
      <c r="D309" s="89">
        <v>264</v>
      </c>
    </row>
    <row r="310" spans="1:4">
      <c r="A310" s="87" t="s">
        <v>418</v>
      </c>
      <c r="B310" s="109">
        <f t="shared" si="4"/>
        <v>0.833333333333333</v>
      </c>
      <c r="C310" s="88" t="s">
        <v>7</v>
      </c>
      <c r="D310" s="89">
        <v>152</v>
      </c>
    </row>
    <row r="311" spans="1:4">
      <c r="A311" s="87" t="s">
        <v>419</v>
      </c>
      <c r="B311" s="109">
        <f t="shared" si="4"/>
        <v>0.875</v>
      </c>
      <c r="C311" s="88" t="s">
        <v>9</v>
      </c>
      <c r="D311" s="89">
        <v>592</v>
      </c>
    </row>
    <row r="312" spans="1:4">
      <c r="A312" s="87" t="s">
        <v>420</v>
      </c>
      <c r="B312" s="109">
        <f t="shared" si="4"/>
        <v>0.916666666666667</v>
      </c>
      <c r="C312" s="88" t="s">
        <v>11</v>
      </c>
      <c r="D312" s="89">
        <v>609</v>
      </c>
    </row>
    <row r="313" spans="1:4">
      <c r="A313" s="87" t="s">
        <v>421</v>
      </c>
      <c r="B313" s="109">
        <f t="shared" si="4"/>
        <v>0.958333333333333</v>
      </c>
      <c r="C313" s="88" t="s">
        <v>13</v>
      </c>
      <c r="D313" s="89">
        <v>449</v>
      </c>
    </row>
    <row r="314" spans="1:4">
      <c r="A314" s="87" t="s">
        <v>422</v>
      </c>
      <c r="B314" s="109">
        <f t="shared" si="4"/>
        <v>0</v>
      </c>
      <c r="C314" s="88" t="s">
        <v>15</v>
      </c>
      <c r="D314" s="89">
        <v>72</v>
      </c>
    </row>
    <row r="315" spans="1:4">
      <c r="A315" s="87" t="s">
        <v>423</v>
      </c>
      <c r="B315" s="109">
        <f t="shared" si="4"/>
        <v>0.0416666666666667</v>
      </c>
      <c r="C315" s="88" t="s">
        <v>17</v>
      </c>
      <c r="D315" s="89">
        <v>488</v>
      </c>
    </row>
    <row r="316" spans="1:4">
      <c r="A316" s="87" t="s">
        <v>424</v>
      </c>
      <c r="B316" s="109">
        <f t="shared" si="4"/>
        <v>0.0833333333333333</v>
      </c>
      <c r="C316" s="88" t="s">
        <v>19</v>
      </c>
      <c r="D316" s="89">
        <v>180</v>
      </c>
    </row>
    <row r="317" spans="1:4">
      <c r="A317" s="87" t="s">
        <v>425</v>
      </c>
      <c r="B317" s="109">
        <f t="shared" si="4"/>
        <v>0.125</v>
      </c>
      <c r="C317" s="88" t="s">
        <v>21</v>
      </c>
      <c r="D317" s="89">
        <v>321</v>
      </c>
    </row>
    <row r="318" spans="1:4">
      <c r="A318" s="87" t="s">
        <v>426</v>
      </c>
      <c r="B318" s="109">
        <f t="shared" si="4"/>
        <v>0.166666666666667</v>
      </c>
      <c r="C318" s="88" t="s">
        <v>23</v>
      </c>
      <c r="D318" s="89">
        <v>194</v>
      </c>
    </row>
    <row r="319" spans="1:4">
      <c r="A319" s="87" t="s">
        <v>427</v>
      </c>
      <c r="B319" s="109">
        <f t="shared" si="4"/>
        <v>0.208333333333333</v>
      </c>
      <c r="C319" s="88" t="s">
        <v>5</v>
      </c>
      <c r="D319" s="89">
        <v>456</v>
      </c>
    </row>
    <row r="320" spans="1:4">
      <c r="A320" s="87" t="s">
        <v>428</v>
      </c>
      <c r="B320" s="109">
        <f t="shared" si="4"/>
        <v>0.25</v>
      </c>
      <c r="C320" s="88" t="s">
        <v>7</v>
      </c>
      <c r="D320" s="89">
        <v>99</v>
      </c>
    </row>
    <row r="321" spans="1:4">
      <c r="A321" s="87" t="s">
        <v>429</v>
      </c>
      <c r="B321" s="109">
        <f t="shared" si="4"/>
        <v>0.291666666666667</v>
      </c>
      <c r="C321" s="88" t="s">
        <v>9</v>
      </c>
      <c r="D321" s="89">
        <v>487</v>
      </c>
    </row>
    <row r="322" spans="1:4">
      <c r="A322" s="87" t="s">
        <v>430</v>
      </c>
      <c r="B322" s="109">
        <f t="shared" si="4"/>
        <v>0.333333333333333</v>
      </c>
      <c r="C322" s="88" t="s">
        <v>11</v>
      </c>
      <c r="D322" s="89">
        <v>562</v>
      </c>
    </row>
    <row r="323" spans="1:4">
      <c r="A323" s="87" t="s">
        <v>431</v>
      </c>
      <c r="B323" s="109">
        <f t="shared" ref="B323:B386" si="5">TIME(VALUE(RIGHT(A323,2)),0,0)</f>
        <v>0.375</v>
      </c>
      <c r="C323" s="88" t="s">
        <v>13</v>
      </c>
      <c r="D323" s="89">
        <v>137</v>
      </c>
    </row>
    <row r="324" spans="1:4">
      <c r="A324" s="87" t="s">
        <v>432</v>
      </c>
      <c r="B324" s="109">
        <f t="shared" si="5"/>
        <v>0.416666666666667</v>
      </c>
      <c r="C324" s="88" t="s">
        <v>15</v>
      </c>
      <c r="D324" s="89">
        <v>228</v>
      </c>
    </row>
    <row r="325" spans="1:4">
      <c r="A325" s="87" t="s">
        <v>433</v>
      </c>
      <c r="B325" s="109">
        <f t="shared" si="5"/>
        <v>0.458333333333333</v>
      </c>
      <c r="C325" s="88" t="s">
        <v>17</v>
      </c>
      <c r="D325" s="89">
        <v>243</v>
      </c>
    </row>
    <row r="326" spans="1:4">
      <c r="A326" s="87" t="s">
        <v>434</v>
      </c>
      <c r="B326" s="109">
        <f t="shared" si="5"/>
        <v>0.5</v>
      </c>
      <c r="C326" s="88" t="s">
        <v>19</v>
      </c>
      <c r="D326" s="89">
        <v>340</v>
      </c>
    </row>
    <row r="327" spans="1:4">
      <c r="A327" s="87" t="s">
        <v>435</v>
      </c>
      <c r="B327" s="109">
        <f t="shared" si="5"/>
        <v>0.541666666666667</v>
      </c>
      <c r="C327" s="88" t="s">
        <v>21</v>
      </c>
      <c r="D327" s="89">
        <v>198</v>
      </c>
    </row>
    <row r="328" spans="1:4">
      <c r="A328" s="87" t="s">
        <v>436</v>
      </c>
      <c r="B328" s="109">
        <f t="shared" si="5"/>
        <v>0.583333333333333</v>
      </c>
      <c r="C328" s="88" t="s">
        <v>23</v>
      </c>
      <c r="D328" s="89">
        <v>579</v>
      </c>
    </row>
    <row r="329" spans="1:4">
      <c r="A329" s="87" t="s">
        <v>437</v>
      </c>
      <c r="B329" s="109">
        <f t="shared" si="5"/>
        <v>0.625</v>
      </c>
      <c r="C329" s="88" t="s">
        <v>5</v>
      </c>
      <c r="D329" s="89">
        <v>225</v>
      </c>
    </row>
    <row r="330" spans="1:4">
      <c r="A330" s="87" t="s">
        <v>438</v>
      </c>
      <c r="B330" s="109">
        <f t="shared" si="5"/>
        <v>0.666666666666667</v>
      </c>
      <c r="C330" s="88" t="s">
        <v>7</v>
      </c>
      <c r="D330" s="89">
        <v>206</v>
      </c>
    </row>
    <row r="331" spans="1:4">
      <c r="A331" s="87" t="s">
        <v>439</v>
      </c>
      <c r="B331" s="109">
        <f t="shared" si="5"/>
        <v>0.708333333333333</v>
      </c>
      <c r="C331" s="88" t="s">
        <v>9</v>
      </c>
      <c r="D331" s="89">
        <v>34</v>
      </c>
    </row>
    <row r="332" spans="1:4">
      <c r="A332" s="87" t="s">
        <v>440</v>
      </c>
      <c r="B332" s="109">
        <f t="shared" si="5"/>
        <v>0.75</v>
      </c>
      <c r="C332" s="88" t="s">
        <v>11</v>
      </c>
      <c r="D332" s="89">
        <v>565</v>
      </c>
    </row>
    <row r="333" spans="1:4">
      <c r="A333" s="87" t="s">
        <v>441</v>
      </c>
      <c r="B333" s="109">
        <f t="shared" si="5"/>
        <v>0.791666666666667</v>
      </c>
      <c r="C333" s="88" t="s">
        <v>13</v>
      </c>
      <c r="D333" s="89">
        <v>123</v>
      </c>
    </row>
    <row r="334" spans="1:4">
      <c r="A334" s="87" t="s">
        <v>442</v>
      </c>
      <c r="B334" s="109">
        <f t="shared" si="5"/>
        <v>0.833333333333333</v>
      </c>
      <c r="C334" s="88" t="s">
        <v>15</v>
      </c>
      <c r="D334" s="89">
        <v>268</v>
      </c>
    </row>
    <row r="335" spans="1:4">
      <c r="A335" s="87" t="s">
        <v>443</v>
      </c>
      <c r="B335" s="109">
        <f t="shared" si="5"/>
        <v>0.875</v>
      </c>
      <c r="C335" s="88" t="s">
        <v>17</v>
      </c>
      <c r="D335" s="89">
        <v>259</v>
      </c>
    </row>
    <row r="336" spans="1:4">
      <c r="A336" s="87" t="s">
        <v>444</v>
      </c>
      <c r="B336" s="109">
        <f t="shared" si="5"/>
        <v>0.916666666666667</v>
      </c>
      <c r="C336" s="88" t="s">
        <v>19</v>
      </c>
      <c r="D336" s="89">
        <v>363</v>
      </c>
    </row>
    <row r="337" spans="1:4">
      <c r="A337" s="87" t="s">
        <v>445</v>
      </c>
      <c r="B337" s="109">
        <f t="shared" si="5"/>
        <v>0.958333333333333</v>
      </c>
      <c r="C337" s="88" t="s">
        <v>21</v>
      </c>
      <c r="D337" s="89">
        <v>486</v>
      </c>
    </row>
    <row r="338" spans="1:4">
      <c r="A338" s="87" t="s">
        <v>494</v>
      </c>
      <c r="B338" s="109">
        <f t="shared" si="5"/>
        <v>0</v>
      </c>
      <c r="C338" s="88" t="s">
        <v>19</v>
      </c>
      <c r="D338" s="89">
        <v>317</v>
      </c>
    </row>
    <row r="339" spans="1:4">
      <c r="A339" s="87" t="s">
        <v>495</v>
      </c>
      <c r="B339" s="109">
        <f t="shared" si="5"/>
        <v>0.0416666666666667</v>
      </c>
      <c r="C339" s="88" t="s">
        <v>21</v>
      </c>
      <c r="D339" s="89">
        <v>518</v>
      </c>
    </row>
    <row r="340" spans="1:4">
      <c r="A340" s="87" t="s">
        <v>496</v>
      </c>
      <c r="B340" s="109">
        <f t="shared" si="5"/>
        <v>0.0833333333333333</v>
      </c>
      <c r="C340" s="88" t="s">
        <v>23</v>
      </c>
      <c r="D340" s="89">
        <v>498</v>
      </c>
    </row>
    <row r="341" spans="1:4">
      <c r="A341" s="87" t="s">
        <v>497</v>
      </c>
      <c r="B341" s="109">
        <f t="shared" si="5"/>
        <v>0.125</v>
      </c>
      <c r="C341" s="88" t="s">
        <v>5</v>
      </c>
      <c r="D341" s="89">
        <v>221</v>
      </c>
    </row>
    <row r="342" spans="1:4">
      <c r="A342" s="87" t="s">
        <v>498</v>
      </c>
      <c r="B342" s="109">
        <f t="shared" si="5"/>
        <v>0.166666666666667</v>
      </c>
      <c r="C342" s="88" t="s">
        <v>7</v>
      </c>
      <c r="D342" s="89">
        <v>234</v>
      </c>
    </row>
    <row r="343" spans="1:4">
      <c r="A343" s="87" t="s">
        <v>499</v>
      </c>
      <c r="B343" s="109">
        <f t="shared" si="5"/>
        <v>0.208333333333333</v>
      </c>
      <c r="C343" s="88" t="s">
        <v>9</v>
      </c>
      <c r="D343" s="89">
        <v>631</v>
      </c>
    </row>
    <row r="344" spans="1:4">
      <c r="A344" s="87" t="s">
        <v>500</v>
      </c>
      <c r="B344" s="109">
        <f t="shared" si="5"/>
        <v>0.25</v>
      </c>
      <c r="C344" s="88" t="s">
        <v>11</v>
      </c>
      <c r="D344" s="89">
        <v>537</v>
      </c>
    </row>
    <row r="345" spans="1:4">
      <c r="A345" s="87" t="s">
        <v>501</v>
      </c>
      <c r="B345" s="109">
        <f t="shared" si="5"/>
        <v>0.291666666666667</v>
      </c>
      <c r="C345" s="88" t="s">
        <v>13</v>
      </c>
      <c r="D345" s="89">
        <v>549</v>
      </c>
    </row>
    <row r="346" spans="1:4">
      <c r="A346" s="87" t="s">
        <v>502</v>
      </c>
      <c r="B346" s="109">
        <f t="shared" si="5"/>
        <v>0.333333333333333</v>
      </c>
      <c r="C346" s="88" t="s">
        <v>15</v>
      </c>
      <c r="D346" s="89">
        <v>443</v>
      </c>
    </row>
    <row r="347" spans="1:4">
      <c r="A347" s="87" t="s">
        <v>503</v>
      </c>
      <c r="B347" s="109">
        <f t="shared" si="5"/>
        <v>0.375</v>
      </c>
      <c r="C347" s="88" t="s">
        <v>17</v>
      </c>
      <c r="D347" s="89">
        <v>471</v>
      </c>
    </row>
    <row r="348" spans="1:4">
      <c r="A348" s="87" t="s">
        <v>504</v>
      </c>
      <c r="B348" s="109">
        <f t="shared" si="5"/>
        <v>0.416666666666667</v>
      </c>
      <c r="C348" s="88" t="s">
        <v>19</v>
      </c>
      <c r="D348" s="89">
        <v>61</v>
      </c>
    </row>
    <row r="349" spans="1:4">
      <c r="A349" s="87" t="s">
        <v>505</v>
      </c>
      <c r="B349" s="109">
        <f t="shared" si="5"/>
        <v>0.458333333333333</v>
      </c>
      <c r="C349" s="88" t="s">
        <v>21</v>
      </c>
      <c r="D349" s="89">
        <v>615</v>
      </c>
    </row>
    <row r="350" spans="1:4">
      <c r="A350" s="87" t="s">
        <v>506</v>
      </c>
      <c r="B350" s="109">
        <f t="shared" si="5"/>
        <v>0.5</v>
      </c>
      <c r="C350" s="88" t="s">
        <v>23</v>
      </c>
      <c r="D350" s="89">
        <v>11</v>
      </c>
    </row>
    <row r="351" spans="1:4">
      <c r="A351" s="87" t="s">
        <v>507</v>
      </c>
      <c r="B351" s="109">
        <f t="shared" si="5"/>
        <v>0.541666666666667</v>
      </c>
      <c r="C351" s="88" t="s">
        <v>5</v>
      </c>
      <c r="D351" s="89">
        <v>207</v>
      </c>
    </row>
    <row r="352" spans="1:4">
      <c r="A352" s="87" t="s">
        <v>508</v>
      </c>
      <c r="B352" s="109">
        <f t="shared" si="5"/>
        <v>0.583333333333333</v>
      </c>
      <c r="C352" s="88" t="s">
        <v>7</v>
      </c>
      <c r="D352" s="89">
        <v>442</v>
      </c>
    </row>
    <row r="353" spans="1:4">
      <c r="A353" s="87" t="s">
        <v>509</v>
      </c>
      <c r="B353" s="109">
        <f t="shared" si="5"/>
        <v>0.625</v>
      </c>
      <c r="C353" s="88" t="s">
        <v>9</v>
      </c>
      <c r="D353" s="89">
        <v>525</v>
      </c>
    </row>
    <row r="354" spans="1:4">
      <c r="A354" s="87" t="s">
        <v>510</v>
      </c>
      <c r="B354" s="109">
        <f t="shared" si="5"/>
        <v>0.666666666666667</v>
      </c>
      <c r="C354" s="88" t="s">
        <v>11</v>
      </c>
      <c r="D354" s="89">
        <v>646</v>
      </c>
    </row>
    <row r="355" spans="1:4">
      <c r="A355" s="87" t="s">
        <v>511</v>
      </c>
      <c r="B355" s="109">
        <f t="shared" si="5"/>
        <v>0.708333333333333</v>
      </c>
      <c r="C355" s="88" t="s">
        <v>13</v>
      </c>
      <c r="D355" s="89">
        <v>640</v>
      </c>
    </row>
    <row r="356" spans="1:4">
      <c r="A356" s="87" t="s">
        <v>512</v>
      </c>
      <c r="B356" s="109">
        <f t="shared" si="5"/>
        <v>0.75</v>
      </c>
      <c r="C356" s="88" t="s">
        <v>15</v>
      </c>
      <c r="D356" s="89">
        <v>557</v>
      </c>
    </row>
    <row r="357" spans="1:4">
      <c r="A357" s="87" t="s">
        <v>513</v>
      </c>
      <c r="B357" s="109">
        <f t="shared" si="5"/>
        <v>0.791666666666667</v>
      </c>
      <c r="C357" s="88" t="s">
        <v>17</v>
      </c>
      <c r="D357" s="89">
        <v>459</v>
      </c>
    </row>
    <row r="358" spans="1:4">
      <c r="A358" s="87" t="s">
        <v>514</v>
      </c>
      <c r="B358" s="109">
        <f t="shared" si="5"/>
        <v>0.833333333333333</v>
      </c>
      <c r="C358" s="88" t="s">
        <v>19</v>
      </c>
      <c r="D358" s="89">
        <v>420</v>
      </c>
    </row>
    <row r="359" spans="1:4">
      <c r="A359" s="87" t="s">
        <v>515</v>
      </c>
      <c r="B359" s="109">
        <f t="shared" si="5"/>
        <v>0.875</v>
      </c>
      <c r="C359" s="88" t="s">
        <v>21</v>
      </c>
      <c r="D359" s="89">
        <v>173</v>
      </c>
    </row>
    <row r="360" spans="1:4">
      <c r="A360" s="87" t="s">
        <v>516</v>
      </c>
      <c r="B360" s="109">
        <f t="shared" si="5"/>
        <v>0.916666666666667</v>
      </c>
      <c r="C360" s="88" t="s">
        <v>23</v>
      </c>
      <c r="D360" s="89">
        <v>448</v>
      </c>
    </row>
    <row r="361" spans="1:4">
      <c r="A361" s="87" t="s">
        <v>517</v>
      </c>
      <c r="B361" s="109">
        <f t="shared" si="5"/>
        <v>0.958333333333333</v>
      </c>
      <c r="C361" s="88" t="s">
        <v>5</v>
      </c>
      <c r="D361" s="89">
        <v>114</v>
      </c>
    </row>
    <row r="362" spans="1:4">
      <c r="A362" s="87" t="s">
        <v>518</v>
      </c>
      <c r="B362" s="109">
        <f t="shared" si="5"/>
        <v>0</v>
      </c>
      <c r="C362" s="88" t="s">
        <v>7</v>
      </c>
      <c r="D362" s="89">
        <v>167</v>
      </c>
    </row>
    <row r="363" spans="1:4">
      <c r="A363" s="87" t="s">
        <v>519</v>
      </c>
      <c r="B363" s="109">
        <f t="shared" si="5"/>
        <v>0.0416666666666667</v>
      </c>
      <c r="C363" s="88" t="s">
        <v>9</v>
      </c>
      <c r="D363" s="89">
        <v>352</v>
      </c>
    </row>
    <row r="364" spans="1:4">
      <c r="A364" s="87" t="s">
        <v>520</v>
      </c>
      <c r="B364" s="109">
        <f t="shared" si="5"/>
        <v>0.0833333333333333</v>
      </c>
      <c r="C364" s="88" t="s">
        <v>11</v>
      </c>
      <c r="D364" s="89">
        <v>148</v>
      </c>
    </row>
    <row r="365" spans="1:4">
      <c r="A365" s="87" t="s">
        <v>521</v>
      </c>
      <c r="B365" s="109">
        <f t="shared" si="5"/>
        <v>0.125</v>
      </c>
      <c r="C365" s="88" t="s">
        <v>13</v>
      </c>
      <c r="D365" s="89">
        <v>13</v>
      </c>
    </row>
    <row r="366" spans="1:4">
      <c r="A366" s="87" t="s">
        <v>522</v>
      </c>
      <c r="B366" s="109">
        <f t="shared" si="5"/>
        <v>0.166666666666667</v>
      </c>
      <c r="C366" s="88" t="s">
        <v>15</v>
      </c>
      <c r="D366" s="89">
        <v>597</v>
      </c>
    </row>
    <row r="367" spans="1:4">
      <c r="A367" s="87" t="s">
        <v>523</v>
      </c>
      <c r="B367" s="109">
        <f t="shared" si="5"/>
        <v>0.208333333333333</v>
      </c>
      <c r="C367" s="88" t="s">
        <v>17</v>
      </c>
      <c r="D367" s="89">
        <v>441</v>
      </c>
    </row>
    <row r="368" spans="1:4">
      <c r="A368" s="87" t="s">
        <v>524</v>
      </c>
      <c r="B368" s="109">
        <f t="shared" si="5"/>
        <v>0.25</v>
      </c>
      <c r="C368" s="88" t="s">
        <v>19</v>
      </c>
      <c r="D368" s="89">
        <v>37</v>
      </c>
    </row>
    <row r="369" spans="1:4">
      <c r="A369" s="87" t="s">
        <v>525</v>
      </c>
      <c r="B369" s="109">
        <f t="shared" si="5"/>
        <v>0.291666666666667</v>
      </c>
      <c r="C369" s="88" t="s">
        <v>21</v>
      </c>
      <c r="D369" s="89">
        <v>365</v>
      </c>
    </row>
    <row r="370" spans="1:4">
      <c r="A370" s="87" t="s">
        <v>526</v>
      </c>
      <c r="B370" s="109">
        <f t="shared" si="5"/>
        <v>0.333333333333333</v>
      </c>
      <c r="C370" s="88" t="s">
        <v>23</v>
      </c>
      <c r="D370" s="89">
        <v>358</v>
      </c>
    </row>
    <row r="371" spans="1:4">
      <c r="A371" s="87" t="s">
        <v>527</v>
      </c>
      <c r="B371" s="109">
        <f t="shared" si="5"/>
        <v>0.375</v>
      </c>
      <c r="C371" s="88" t="s">
        <v>5</v>
      </c>
      <c r="D371" s="89">
        <v>484</v>
      </c>
    </row>
    <row r="372" spans="1:4">
      <c r="A372" s="87" t="s">
        <v>528</v>
      </c>
      <c r="B372" s="109">
        <f t="shared" si="5"/>
        <v>0.416666666666667</v>
      </c>
      <c r="C372" s="88" t="s">
        <v>7</v>
      </c>
      <c r="D372" s="89">
        <v>367</v>
      </c>
    </row>
    <row r="373" spans="1:4">
      <c r="A373" s="87" t="s">
        <v>529</v>
      </c>
      <c r="B373" s="109">
        <f t="shared" si="5"/>
        <v>0.458333333333333</v>
      </c>
      <c r="C373" s="88" t="s">
        <v>9</v>
      </c>
      <c r="D373" s="89">
        <v>127</v>
      </c>
    </row>
    <row r="374" spans="1:4">
      <c r="A374" s="87" t="s">
        <v>530</v>
      </c>
      <c r="B374" s="109">
        <f t="shared" si="5"/>
        <v>0.5</v>
      </c>
      <c r="C374" s="88" t="s">
        <v>11</v>
      </c>
      <c r="D374" s="89">
        <v>368</v>
      </c>
    </row>
    <row r="375" spans="1:4">
      <c r="A375" s="87" t="s">
        <v>531</v>
      </c>
      <c r="B375" s="109">
        <f t="shared" si="5"/>
        <v>0.541666666666667</v>
      </c>
      <c r="C375" s="88" t="s">
        <v>13</v>
      </c>
      <c r="D375" s="89">
        <v>387</v>
      </c>
    </row>
    <row r="376" spans="1:4">
      <c r="A376" s="87" t="s">
        <v>532</v>
      </c>
      <c r="B376" s="109">
        <f t="shared" si="5"/>
        <v>0.583333333333333</v>
      </c>
      <c r="C376" s="88" t="s">
        <v>15</v>
      </c>
      <c r="D376" s="89">
        <v>629</v>
      </c>
    </row>
    <row r="377" spans="1:4">
      <c r="A377" s="87" t="s">
        <v>533</v>
      </c>
      <c r="B377" s="109">
        <f t="shared" si="5"/>
        <v>0.625</v>
      </c>
      <c r="C377" s="88" t="s">
        <v>17</v>
      </c>
      <c r="D377" s="89">
        <v>645</v>
      </c>
    </row>
    <row r="378" spans="1:4">
      <c r="A378" s="87" t="s">
        <v>534</v>
      </c>
      <c r="B378" s="109">
        <f t="shared" si="5"/>
        <v>0.666666666666667</v>
      </c>
      <c r="C378" s="88" t="s">
        <v>19</v>
      </c>
      <c r="D378" s="89">
        <v>33</v>
      </c>
    </row>
    <row r="379" spans="1:4">
      <c r="A379" s="87" t="s">
        <v>535</v>
      </c>
      <c r="B379" s="109">
        <f t="shared" si="5"/>
        <v>0.708333333333333</v>
      </c>
      <c r="C379" s="88" t="s">
        <v>21</v>
      </c>
      <c r="D379" s="89">
        <v>554</v>
      </c>
    </row>
    <row r="380" spans="1:4">
      <c r="A380" s="87" t="s">
        <v>536</v>
      </c>
      <c r="B380" s="109">
        <f t="shared" si="5"/>
        <v>0.75</v>
      </c>
      <c r="C380" s="88" t="s">
        <v>23</v>
      </c>
      <c r="D380" s="89">
        <v>430</v>
      </c>
    </row>
    <row r="381" spans="1:4">
      <c r="A381" s="87" t="s">
        <v>537</v>
      </c>
      <c r="B381" s="109">
        <f t="shared" si="5"/>
        <v>0.791666666666667</v>
      </c>
      <c r="C381" s="88" t="s">
        <v>5</v>
      </c>
      <c r="D381" s="89">
        <v>332</v>
      </c>
    </row>
    <row r="382" spans="1:4">
      <c r="A382" s="87" t="s">
        <v>538</v>
      </c>
      <c r="B382" s="109">
        <f t="shared" si="5"/>
        <v>0.833333333333333</v>
      </c>
      <c r="C382" s="88" t="s">
        <v>7</v>
      </c>
      <c r="D382" s="89">
        <v>435</v>
      </c>
    </row>
    <row r="383" spans="1:4">
      <c r="A383" s="87" t="s">
        <v>539</v>
      </c>
      <c r="B383" s="109">
        <f t="shared" si="5"/>
        <v>0.875</v>
      </c>
      <c r="C383" s="88" t="s">
        <v>9</v>
      </c>
      <c r="D383" s="89">
        <v>605</v>
      </c>
    </row>
    <row r="384" spans="1:4">
      <c r="A384" s="87" t="s">
        <v>540</v>
      </c>
      <c r="B384" s="109">
        <f t="shared" si="5"/>
        <v>0.916666666666667</v>
      </c>
      <c r="C384" s="88" t="s">
        <v>11</v>
      </c>
      <c r="D384" s="89">
        <v>47</v>
      </c>
    </row>
    <row r="385" spans="1:4">
      <c r="A385" s="87" t="s">
        <v>541</v>
      </c>
      <c r="B385" s="109">
        <f t="shared" si="5"/>
        <v>0.958333333333333</v>
      </c>
      <c r="C385" s="88" t="s">
        <v>13</v>
      </c>
      <c r="D385" s="89">
        <v>303</v>
      </c>
    </row>
    <row r="386" spans="1:4">
      <c r="A386" s="87" t="s">
        <v>542</v>
      </c>
      <c r="B386" s="109">
        <f t="shared" si="5"/>
        <v>0</v>
      </c>
      <c r="C386" s="88" t="s">
        <v>15</v>
      </c>
      <c r="D386" s="89">
        <v>496</v>
      </c>
    </row>
    <row r="387" spans="1:4">
      <c r="A387" s="87" t="s">
        <v>543</v>
      </c>
      <c r="B387" s="109">
        <f t="shared" ref="B387:B450" si="6">TIME(VALUE(RIGHT(A387,2)),0,0)</f>
        <v>0.0416666666666667</v>
      </c>
      <c r="C387" s="88" t="s">
        <v>17</v>
      </c>
      <c r="D387" s="89">
        <v>383</v>
      </c>
    </row>
    <row r="388" spans="1:4">
      <c r="A388" s="87" t="s">
        <v>544</v>
      </c>
      <c r="B388" s="109">
        <f t="shared" si="6"/>
        <v>0.0833333333333333</v>
      </c>
      <c r="C388" s="88" t="s">
        <v>19</v>
      </c>
      <c r="D388" s="89">
        <v>381</v>
      </c>
    </row>
    <row r="389" spans="1:4">
      <c r="A389" s="87" t="s">
        <v>545</v>
      </c>
      <c r="B389" s="109">
        <f t="shared" si="6"/>
        <v>0.125</v>
      </c>
      <c r="C389" s="88" t="s">
        <v>21</v>
      </c>
      <c r="D389" s="89">
        <v>351</v>
      </c>
    </row>
    <row r="390" spans="1:4">
      <c r="A390" s="87" t="s">
        <v>546</v>
      </c>
      <c r="B390" s="109">
        <f t="shared" si="6"/>
        <v>0.166666666666667</v>
      </c>
      <c r="C390" s="88" t="s">
        <v>23</v>
      </c>
      <c r="D390" s="89">
        <v>165</v>
      </c>
    </row>
    <row r="391" spans="1:4">
      <c r="A391" s="87" t="s">
        <v>547</v>
      </c>
      <c r="B391" s="109">
        <f t="shared" si="6"/>
        <v>0.208333333333333</v>
      </c>
      <c r="C391" s="88" t="s">
        <v>5</v>
      </c>
      <c r="D391" s="89">
        <v>272</v>
      </c>
    </row>
    <row r="392" spans="1:4">
      <c r="A392" s="87" t="s">
        <v>548</v>
      </c>
      <c r="B392" s="109">
        <f t="shared" si="6"/>
        <v>0.25</v>
      </c>
      <c r="C392" s="88" t="s">
        <v>7</v>
      </c>
      <c r="D392" s="89">
        <v>445</v>
      </c>
    </row>
    <row r="393" spans="1:4">
      <c r="A393" s="87" t="s">
        <v>549</v>
      </c>
      <c r="B393" s="109">
        <f t="shared" si="6"/>
        <v>0.291666666666667</v>
      </c>
      <c r="C393" s="88" t="s">
        <v>9</v>
      </c>
      <c r="D393" s="89">
        <v>338</v>
      </c>
    </row>
    <row r="394" spans="1:4">
      <c r="A394" s="87" t="s">
        <v>550</v>
      </c>
      <c r="B394" s="109">
        <f t="shared" si="6"/>
        <v>0.333333333333333</v>
      </c>
      <c r="C394" s="88" t="s">
        <v>11</v>
      </c>
      <c r="D394" s="89">
        <v>140</v>
      </c>
    </row>
    <row r="395" spans="1:4">
      <c r="A395" s="87" t="s">
        <v>551</v>
      </c>
      <c r="B395" s="109">
        <f t="shared" si="6"/>
        <v>0.375</v>
      </c>
      <c r="C395" s="88" t="s">
        <v>13</v>
      </c>
      <c r="D395" s="89">
        <v>623</v>
      </c>
    </row>
    <row r="396" spans="1:4">
      <c r="A396" s="87" t="s">
        <v>552</v>
      </c>
      <c r="B396" s="109">
        <f t="shared" si="6"/>
        <v>0.416666666666667</v>
      </c>
      <c r="C396" s="88" t="s">
        <v>15</v>
      </c>
      <c r="D396" s="89">
        <v>269</v>
      </c>
    </row>
    <row r="397" spans="1:4">
      <c r="A397" s="87" t="s">
        <v>553</v>
      </c>
      <c r="B397" s="109">
        <f t="shared" si="6"/>
        <v>0.458333333333333</v>
      </c>
      <c r="C397" s="88" t="s">
        <v>17</v>
      </c>
      <c r="D397" s="89">
        <v>546</v>
      </c>
    </row>
    <row r="398" spans="1:4">
      <c r="A398" s="87" t="s">
        <v>554</v>
      </c>
      <c r="B398" s="109">
        <f t="shared" si="6"/>
        <v>0.5</v>
      </c>
      <c r="C398" s="88" t="s">
        <v>19</v>
      </c>
      <c r="D398" s="89">
        <v>318</v>
      </c>
    </row>
    <row r="399" spans="1:4">
      <c r="A399" s="87" t="s">
        <v>555</v>
      </c>
      <c r="B399" s="109">
        <f t="shared" si="6"/>
        <v>0.541666666666667</v>
      </c>
      <c r="C399" s="88" t="s">
        <v>21</v>
      </c>
      <c r="D399" s="89">
        <v>397</v>
      </c>
    </row>
    <row r="400" spans="1:4">
      <c r="A400" s="87" t="s">
        <v>556</v>
      </c>
      <c r="B400" s="109">
        <f t="shared" si="6"/>
        <v>0.583333333333333</v>
      </c>
      <c r="C400" s="88" t="s">
        <v>23</v>
      </c>
      <c r="D400" s="89">
        <v>241</v>
      </c>
    </row>
    <row r="401" spans="1:4">
      <c r="A401" s="87" t="s">
        <v>557</v>
      </c>
      <c r="B401" s="109">
        <f t="shared" si="6"/>
        <v>0.625</v>
      </c>
      <c r="C401" s="88" t="s">
        <v>5</v>
      </c>
      <c r="D401" s="89">
        <v>636</v>
      </c>
    </row>
    <row r="402" spans="1:4">
      <c r="A402" s="87" t="s">
        <v>558</v>
      </c>
      <c r="B402" s="109">
        <f t="shared" si="6"/>
        <v>0.666666666666667</v>
      </c>
      <c r="C402" s="88" t="s">
        <v>7</v>
      </c>
      <c r="D402" s="89">
        <v>156</v>
      </c>
    </row>
    <row r="403" spans="1:4">
      <c r="A403" s="87" t="s">
        <v>559</v>
      </c>
      <c r="B403" s="109">
        <f t="shared" si="6"/>
        <v>0.708333333333333</v>
      </c>
      <c r="C403" s="88" t="s">
        <v>9</v>
      </c>
      <c r="D403" s="89">
        <v>327</v>
      </c>
    </row>
    <row r="404" spans="1:4">
      <c r="A404" s="87" t="s">
        <v>560</v>
      </c>
      <c r="B404" s="109">
        <f t="shared" si="6"/>
        <v>0.75</v>
      </c>
      <c r="C404" s="88" t="s">
        <v>11</v>
      </c>
      <c r="D404" s="89">
        <v>39</v>
      </c>
    </row>
    <row r="405" spans="1:4">
      <c r="A405" s="87" t="s">
        <v>561</v>
      </c>
      <c r="B405" s="109">
        <f t="shared" si="6"/>
        <v>0.791666666666667</v>
      </c>
      <c r="C405" s="88" t="s">
        <v>13</v>
      </c>
      <c r="D405" s="89">
        <v>485</v>
      </c>
    </row>
    <row r="406" spans="1:4">
      <c r="A406" s="87" t="s">
        <v>562</v>
      </c>
      <c r="B406" s="109">
        <f t="shared" si="6"/>
        <v>0.833333333333333</v>
      </c>
      <c r="C406" s="88" t="s">
        <v>15</v>
      </c>
      <c r="D406" s="89">
        <v>134</v>
      </c>
    </row>
    <row r="407" spans="1:4">
      <c r="A407" s="87" t="s">
        <v>563</v>
      </c>
      <c r="B407" s="109">
        <f t="shared" si="6"/>
        <v>0.875</v>
      </c>
      <c r="C407" s="88" t="s">
        <v>17</v>
      </c>
      <c r="D407" s="89">
        <v>82</v>
      </c>
    </row>
    <row r="408" spans="1:4">
      <c r="A408" s="87" t="s">
        <v>564</v>
      </c>
      <c r="B408" s="109">
        <f t="shared" si="6"/>
        <v>0.916666666666667</v>
      </c>
      <c r="C408" s="88" t="s">
        <v>5</v>
      </c>
      <c r="D408" s="89">
        <v>57</v>
      </c>
    </row>
    <row r="409" spans="1:4">
      <c r="A409" s="87" t="s">
        <v>565</v>
      </c>
      <c r="B409" s="109">
        <f t="shared" si="6"/>
        <v>0.958333333333333</v>
      </c>
      <c r="C409" s="88" t="s">
        <v>7</v>
      </c>
      <c r="D409" s="89">
        <v>283</v>
      </c>
    </row>
    <row r="410" spans="1:4">
      <c r="A410" s="87" t="s">
        <v>566</v>
      </c>
      <c r="B410" s="109">
        <f t="shared" si="6"/>
        <v>0</v>
      </c>
      <c r="C410" s="88" t="s">
        <v>17</v>
      </c>
      <c r="D410" s="89">
        <v>308</v>
      </c>
    </row>
    <row r="411" spans="1:4">
      <c r="A411" s="87" t="s">
        <v>567</v>
      </c>
      <c r="B411" s="109">
        <f t="shared" si="6"/>
        <v>0.0416666666666667</v>
      </c>
      <c r="C411" s="88" t="s">
        <v>19</v>
      </c>
      <c r="D411" s="89">
        <v>495</v>
      </c>
    </row>
    <row r="412" spans="1:4">
      <c r="A412" s="87" t="s">
        <v>568</v>
      </c>
      <c r="B412" s="109">
        <f t="shared" si="6"/>
        <v>0.0833333333333333</v>
      </c>
      <c r="C412" s="88" t="s">
        <v>21</v>
      </c>
      <c r="D412" s="89">
        <v>547</v>
      </c>
    </row>
    <row r="413" spans="1:4">
      <c r="A413" s="87" t="s">
        <v>569</v>
      </c>
      <c r="B413" s="109">
        <f t="shared" si="6"/>
        <v>0.125</v>
      </c>
      <c r="C413" s="88" t="s">
        <v>23</v>
      </c>
      <c r="D413" s="89">
        <v>447</v>
      </c>
    </row>
    <row r="414" spans="1:4">
      <c r="A414" s="87" t="s">
        <v>570</v>
      </c>
      <c r="B414" s="109">
        <f t="shared" si="6"/>
        <v>0.166666666666667</v>
      </c>
      <c r="C414" s="88" t="s">
        <v>5</v>
      </c>
      <c r="D414" s="89">
        <v>413</v>
      </c>
    </row>
    <row r="415" spans="1:4">
      <c r="A415" s="87" t="s">
        <v>571</v>
      </c>
      <c r="B415" s="109">
        <f t="shared" si="6"/>
        <v>0.208333333333333</v>
      </c>
      <c r="C415" s="88" t="s">
        <v>7</v>
      </c>
      <c r="D415" s="89">
        <v>168</v>
      </c>
    </row>
    <row r="416" spans="1:4">
      <c r="A416" s="87" t="s">
        <v>572</v>
      </c>
      <c r="B416" s="109">
        <f t="shared" si="6"/>
        <v>0.25</v>
      </c>
      <c r="C416" s="88" t="s">
        <v>9</v>
      </c>
      <c r="D416" s="89">
        <v>339</v>
      </c>
    </row>
    <row r="417" spans="1:4">
      <c r="A417" s="87" t="s">
        <v>573</v>
      </c>
      <c r="B417" s="109">
        <f t="shared" si="6"/>
        <v>0.291666666666667</v>
      </c>
      <c r="C417" s="88" t="s">
        <v>11</v>
      </c>
      <c r="D417" s="89">
        <v>450</v>
      </c>
    </row>
    <row r="418" spans="1:4">
      <c r="A418" s="87" t="s">
        <v>574</v>
      </c>
      <c r="B418" s="109">
        <f t="shared" si="6"/>
        <v>0.333333333333333</v>
      </c>
      <c r="C418" s="88" t="s">
        <v>13</v>
      </c>
      <c r="D418" s="89">
        <v>242</v>
      </c>
    </row>
    <row r="419" spans="1:4">
      <c r="A419" s="87" t="s">
        <v>575</v>
      </c>
      <c r="B419" s="109">
        <f t="shared" si="6"/>
        <v>0.375</v>
      </c>
      <c r="C419" s="88" t="s">
        <v>15</v>
      </c>
      <c r="D419" s="89">
        <v>531</v>
      </c>
    </row>
    <row r="420" spans="1:4">
      <c r="A420" s="87" t="s">
        <v>576</v>
      </c>
      <c r="B420" s="109">
        <f t="shared" si="6"/>
        <v>0.416666666666667</v>
      </c>
      <c r="C420" s="88" t="s">
        <v>17</v>
      </c>
      <c r="D420" s="89">
        <v>494</v>
      </c>
    </row>
    <row r="421" spans="1:4">
      <c r="A421" s="87" t="s">
        <v>577</v>
      </c>
      <c r="B421" s="109">
        <f t="shared" si="6"/>
        <v>0.458333333333333</v>
      </c>
      <c r="C421" s="88" t="s">
        <v>19</v>
      </c>
      <c r="D421" s="89">
        <v>131</v>
      </c>
    </row>
    <row r="422" spans="1:4">
      <c r="A422" s="87" t="s">
        <v>578</v>
      </c>
      <c r="B422" s="109">
        <f t="shared" si="6"/>
        <v>0.5</v>
      </c>
      <c r="C422" s="88" t="s">
        <v>21</v>
      </c>
      <c r="D422" s="89">
        <v>360</v>
      </c>
    </row>
    <row r="423" spans="1:4">
      <c r="A423" s="87" t="s">
        <v>579</v>
      </c>
      <c r="B423" s="109">
        <f t="shared" si="6"/>
        <v>0.541666666666667</v>
      </c>
      <c r="C423" s="88" t="s">
        <v>23</v>
      </c>
      <c r="D423" s="89">
        <v>212</v>
      </c>
    </row>
    <row r="424" spans="1:4">
      <c r="A424" s="87" t="s">
        <v>580</v>
      </c>
      <c r="B424" s="109">
        <f t="shared" si="6"/>
        <v>0.583333333333333</v>
      </c>
      <c r="C424" s="88" t="s">
        <v>5</v>
      </c>
      <c r="D424" s="89">
        <v>222</v>
      </c>
    </row>
    <row r="425" spans="1:4">
      <c r="A425" s="87" t="s">
        <v>581</v>
      </c>
      <c r="B425" s="109">
        <f t="shared" si="6"/>
        <v>0.625</v>
      </c>
      <c r="C425" s="88" t="s">
        <v>7</v>
      </c>
      <c r="D425" s="89">
        <v>466</v>
      </c>
    </row>
    <row r="426" spans="1:4">
      <c r="A426" s="87" t="s">
        <v>582</v>
      </c>
      <c r="B426" s="109">
        <f t="shared" si="6"/>
        <v>0.666666666666667</v>
      </c>
      <c r="C426" s="88" t="s">
        <v>9</v>
      </c>
      <c r="D426" s="89">
        <v>560</v>
      </c>
    </row>
    <row r="427" spans="1:4">
      <c r="A427" s="87" t="s">
        <v>583</v>
      </c>
      <c r="B427" s="109">
        <f t="shared" si="6"/>
        <v>0.708333333333333</v>
      </c>
      <c r="C427" s="88" t="s">
        <v>11</v>
      </c>
      <c r="D427" s="89">
        <v>618</v>
      </c>
    </row>
    <row r="428" spans="1:4">
      <c r="A428" s="87" t="s">
        <v>584</v>
      </c>
      <c r="B428" s="109">
        <f t="shared" si="6"/>
        <v>0.75</v>
      </c>
      <c r="C428" s="88" t="s">
        <v>13</v>
      </c>
      <c r="D428" s="89">
        <v>364</v>
      </c>
    </row>
    <row r="429" spans="1:4">
      <c r="A429" s="87" t="s">
        <v>585</v>
      </c>
      <c r="B429" s="109">
        <f t="shared" si="6"/>
        <v>0.791666666666667</v>
      </c>
      <c r="C429" s="88" t="s">
        <v>15</v>
      </c>
      <c r="D429" s="89">
        <v>540</v>
      </c>
    </row>
    <row r="430" spans="1:4">
      <c r="A430" s="87" t="s">
        <v>586</v>
      </c>
      <c r="B430" s="109">
        <f t="shared" si="6"/>
        <v>0.833333333333333</v>
      </c>
      <c r="C430" s="88" t="s">
        <v>17</v>
      </c>
      <c r="D430" s="89">
        <v>382</v>
      </c>
    </row>
    <row r="431" spans="1:4">
      <c r="A431" s="87" t="s">
        <v>587</v>
      </c>
      <c r="B431" s="109">
        <f t="shared" si="6"/>
        <v>0.875</v>
      </c>
      <c r="C431" s="88" t="s">
        <v>19</v>
      </c>
      <c r="D431" s="89">
        <v>514</v>
      </c>
    </row>
    <row r="432" spans="1:4">
      <c r="A432" s="87" t="s">
        <v>588</v>
      </c>
      <c r="B432" s="109">
        <f t="shared" si="6"/>
        <v>0.916666666666667</v>
      </c>
      <c r="C432" s="88" t="s">
        <v>21</v>
      </c>
      <c r="D432" s="89">
        <v>31</v>
      </c>
    </row>
    <row r="433" spans="1:4">
      <c r="A433" s="87" t="s">
        <v>589</v>
      </c>
      <c r="B433" s="109">
        <f t="shared" si="6"/>
        <v>0.958333333333333</v>
      </c>
      <c r="C433" s="88" t="s">
        <v>23</v>
      </c>
      <c r="D433" s="89">
        <v>371</v>
      </c>
    </row>
    <row r="434" spans="1:4">
      <c r="A434" s="87" t="s">
        <v>590</v>
      </c>
      <c r="B434" s="109">
        <f t="shared" si="6"/>
        <v>0</v>
      </c>
      <c r="C434" s="88" t="s">
        <v>5</v>
      </c>
      <c r="D434" s="89">
        <v>278</v>
      </c>
    </row>
    <row r="435" spans="1:4">
      <c r="A435" s="87" t="s">
        <v>591</v>
      </c>
      <c r="B435" s="109">
        <f t="shared" si="6"/>
        <v>0.0416666666666667</v>
      </c>
      <c r="C435" s="88" t="s">
        <v>7</v>
      </c>
      <c r="D435" s="89">
        <v>311</v>
      </c>
    </row>
    <row r="436" spans="1:4">
      <c r="A436" s="87" t="s">
        <v>592</v>
      </c>
      <c r="B436" s="109">
        <f t="shared" si="6"/>
        <v>0.0833333333333333</v>
      </c>
      <c r="C436" s="88" t="s">
        <v>9</v>
      </c>
      <c r="D436" s="89">
        <v>517</v>
      </c>
    </row>
    <row r="437" spans="1:4">
      <c r="A437" s="87" t="s">
        <v>593</v>
      </c>
      <c r="B437" s="109">
        <f t="shared" si="6"/>
        <v>0.125</v>
      </c>
      <c r="C437" s="88" t="s">
        <v>11</v>
      </c>
      <c r="D437" s="89">
        <v>429</v>
      </c>
    </row>
    <row r="438" spans="1:4">
      <c r="A438" s="87" t="s">
        <v>594</v>
      </c>
      <c r="B438" s="109">
        <f t="shared" si="6"/>
        <v>0.166666666666667</v>
      </c>
      <c r="C438" s="88" t="s">
        <v>13</v>
      </c>
      <c r="D438" s="89">
        <v>276</v>
      </c>
    </row>
    <row r="439" spans="1:4">
      <c r="A439" s="87" t="s">
        <v>595</v>
      </c>
      <c r="B439" s="109">
        <f t="shared" si="6"/>
        <v>0.208333333333333</v>
      </c>
      <c r="C439" s="88" t="s">
        <v>15</v>
      </c>
      <c r="D439" s="89">
        <v>291</v>
      </c>
    </row>
    <row r="440" spans="1:4">
      <c r="A440" s="87" t="s">
        <v>596</v>
      </c>
      <c r="B440" s="109">
        <f t="shared" si="6"/>
        <v>0.25</v>
      </c>
      <c r="C440" s="88" t="s">
        <v>17</v>
      </c>
      <c r="D440" s="89">
        <v>233</v>
      </c>
    </row>
    <row r="441" spans="1:4">
      <c r="A441" s="87" t="s">
        <v>597</v>
      </c>
      <c r="B441" s="109">
        <f t="shared" si="6"/>
        <v>0.291666666666667</v>
      </c>
      <c r="C441" s="88" t="s">
        <v>19</v>
      </c>
      <c r="D441" s="89">
        <v>585</v>
      </c>
    </row>
    <row r="442" spans="1:4">
      <c r="A442" s="87" t="s">
        <v>598</v>
      </c>
      <c r="B442" s="109">
        <f t="shared" si="6"/>
        <v>0.333333333333333</v>
      </c>
      <c r="C442" s="88" t="s">
        <v>21</v>
      </c>
      <c r="D442" s="89">
        <v>414</v>
      </c>
    </row>
    <row r="443" spans="1:4">
      <c r="A443" s="87" t="s">
        <v>599</v>
      </c>
      <c r="B443" s="109">
        <f t="shared" si="6"/>
        <v>0.375</v>
      </c>
      <c r="C443" s="88" t="s">
        <v>23</v>
      </c>
      <c r="D443" s="89">
        <v>49</v>
      </c>
    </row>
    <row r="444" spans="1:4">
      <c r="A444" s="87" t="s">
        <v>600</v>
      </c>
      <c r="B444" s="109">
        <f t="shared" si="6"/>
        <v>0.416666666666667</v>
      </c>
      <c r="C444" s="88" t="s">
        <v>5</v>
      </c>
      <c r="D444" s="89">
        <v>18</v>
      </c>
    </row>
    <row r="445" spans="1:4">
      <c r="A445" s="87" t="s">
        <v>601</v>
      </c>
      <c r="B445" s="109">
        <f t="shared" si="6"/>
        <v>0.458333333333333</v>
      </c>
      <c r="C445" s="88" t="s">
        <v>7</v>
      </c>
      <c r="D445" s="89">
        <v>357</v>
      </c>
    </row>
    <row r="446" spans="1:4">
      <c r="A446" s="87" t="s">
        <v>602</v>
      </c>
      <c r="B446" s="109">
        <f t="shared" si="6"/>
        <v>0.5</v>
      </c>
      <c r="C446" s="88" t="s">
        <v>9</v>
      </c>
      <c r="D446" s="89">
        <v>325</v>
      </c>
    </row>
    <row r="447" spans="1:4">
      <c r="A447" s="87" t="s">
        <v>603</v>
      </c>
      <c r="B447" s="109">
        <f t="shared" si="6"/>
        <v>0.541666666666667</v>
      </c>
      <c r="C447" s="88" t="s">
        <v>11</v>
      </c>
      <c r="D447" s="89">
        <v>270</v>
      </c>
    </row>
    <row r="448" spans="1:4">
      <c r="A448" s="87" t="s">
        <v>604</v>
      </c>
      <c r="B448" s="109">
        <f t="shared" si="6"/>
        <v>0.583333333333333</v>
      </c>
      <c r="C448" s="88" t="s">
        <v>13</v>
      </c>
      <c r="D448" s="89">
        <v>552</v>
      </c>
    </row>
    <row r="449" spans="1:4">
      <c r="A449" s="87" t="s">
        <v>605</v>
      </c>
      <c r="B449" s="109">
        <f t="shared" si="6"/>
        <v>0.625</v>
      </c>
      <c r="C449" s="88" t="s">
        <v>15</v>
      </c>
      <c r="D449" s="89">
        <v>223</v>
      </c>
    </row>
    <row r="450" spans="1:4">
      <c r="A450" s="87" t="s">
        <v>606</v>
      </c>
      <c r="B450" s="109">
        <f t="shared" si="6"/>
        <v>0.666666666666667</v>
      </c>
      <c r="C450" s="88" t="s">
        <v>17</v>
      </c>
      <c r="D450" s="89">
        <v>40</v>
      </c>
    </row>
    <row r="451" spans="1:4">
      <c r="A451" s="87" t="s">
        <v>607</v>
      </c>
      <c r="B451" s="109">
        <f t="shared" ref="B451:B514" si="7">TIME(VALUE(RIGHT(A451,2)),0,0)</f>
        <v>0.708333333333333</v>
      </c>
      <c r="C451" s="88" t="s">
        <v>19</v>
      </c>
      <c r="D451" s="89">
        <v>337</v>
      </c>
    </row>
    <row r="452" spans="1:4">
      <c r="A452" s="87" t="s">
        <v>608</v>
      </c>
      <c r="B452" s="109">
        <f t="shared" si="7"/>
        <v>0.75</v>
      </c>
      <c r="C452" s="88" t="s">
        <v>21</v>
      </c>
      <c r="D452" s="89">
        <v>446</v>
      </c>
    </row>
    <row r="453" spans="1:4">
      <c r="A453" s="87" t="s">
        <v>609</v>
      </c>
      <c r="B453" s="109">
        <f t="shared" si="7"/>
        <v>0.791666666666667</v>
      </c>
      <c r="C453" s="88" t="s">
        <v>23</v>
      </c>
      <c r="D453" s="89">
        <v>8</v>
      </c>
    </row>
    <row r="454" spans="1:4">
      <c r="A454" s="87" t="s">
        <v>610</v>
      </c>
      <c r="B454" s="109">
        <f t="shared" si="7"/>
        <v>0.833333333333333</v>
      </c>
      <c r="C454" s="88" t="s">
        <v>5</v>
      </c>
      <c r="D454" s="89">
        <v>350</v>
      </c>
    </row>
    <row r="455" spans="1:4">
      <c r="A455" s="87" t="s">
        <v>611</v>
      </c>
      <c r="B455" s="109">
        <f t="shared" si="7"/>
        <v>0.875</v>
      </c>
      <c r="C455" s="88" t="s">
        <v>7</v>
      </c>
      <c r="D455" s="89">
        <v>455</v>
      </c>
    </row>
    <row r="456" spans="1:4">
      <c r="A456" s="87" t="s">
        <v>612</v>
      </c>
      <c r="B456" s="109">
        <f t="shared" si="7"/>
        <v>0.916666666666667</v>
      </c>
      <c r="C456" s="88" t="s">
        <v>9</v>
      </c>
      <c r="D456" s="89">
        <v>479</v>
      </c>
    </row>
    <row r="457" spans="1:4">
      <c r="A457" s="87" t="s">
        <v>613</v>
      </c>
      <c r="B457" s="109">
        <f t="shared" si="7"/>
        <v>0.958333333333333</v>
      </c>
      <c r="C457" s="88" t="s">
        <v>11</v>
      </c>
      <c r="D457" s="89">
        <v>428</v>
      </c>
    </row>
    <row r="458" spans="1:4">
      <c r="A458" s="87" t="s">
        <v>662</v>
      </c>
      <c r="B458" s="109">
        <f t="shared" si="7"/>
        <v>0</v>
      </c>
      <c r="C458" s="88" t="s">
        <v>9</v>
      </c>
      <c r="D458" s="89">
        <v>464</v>
      </c>
    </row>
    <row r="459" spans="1:4">
      <c r="A459" s="87" t="s">
        <v>663</v>
      </c>
      <c r="B459" s="109">
        <f t="shared" si="7"/>
        <v>0.0416666666666667</v>
      </c>
      <c r="C459" s="88" t="s">
        <v>11</v>
      </c>
      <c r="D459" s="89">
        <v>391</v>
      </c>
    </row>
    <row r="460" spans="1:4">
      <c r="A460" s="87" t="s">
        <v>664</v>
      </c>
      <c r="B460" s="109">
        <f t="shared" si="7"/>
        <v>0.0833333333333333</v>
      </c>
      <c r="C460" s="88" t="s">
        <v>13</v>
      </c>
      <c r="D460" s="89">
        <v>14</v>
      </c>
    </row>
    <row r="461" spans="1:4">
      <c r="A461" s="87" t="s">
        <v>665</v>
      </c>
      <c r="B461" s="109">
        <f t="shared" si="7"/>
        <v>0.125</v>
      </c>
      <c r="C461" s="88" t="s">
        <v>15</v>
      </c>
      <c r="D461" s="89">
        <v>600</v>
      </c>
    </row>
    <row r="462" spans="1:4">
      <c r="A462" s="87" t="s">
        <v>666</v>
      </c>
      <c r="B462" s="109">
        <f t="shared" si="7"/>
        <v>0.166666666666667</v>
      </c>
      <c r="C462" s="88" t="s">
        <v>17</v>
      </c>
      <c r="D462" s="89">
        <v>52</v>
      </c>
    </row>
    <row r="463" spans="1:4">
      <c r="A463" s="87" t="s">
        <v>667</v>
      </c>
      <c r="B463" s="109">
        <f t="shared" si="7"/>
        <v>0.208333333333333</v>
      </c>
      <c r="C463" s="88" t="s">
        <v>19</v>
      </c>
      <c r="D463" s="89">
        <v>559</v>
      </c>
    </row>
    <row r="464" spans="1:4">
      <c r="A464" s="87" t="s">
        <v>668</v>
      </c>
      <c r="B464" s="109">
        <f t="shared" si="7"/>
        <v>0.25</v>
      </c>
      <c r="C464" s="88" t="s">
        <v>21</v>
      </c>
      <c r="D464" s="89">
        <v>607</v>
      </c>
    </row>
    <row r="465" spans="1:4">
      <c r="A465" s="87" t="s">
        <v>669</v>
      </c>
      <c r="B465" s="109">
        <f t="shared" si="7"/>
        <v>0.291666666666667</v>
      </c>
      <c r="C465" s="88" t="s">
        <v>23</v>
      </c>
      <c r="D465" s="89">
        <v>424</v>
      </c>
    </row>
    <row r="466" spans="1:4">
      <c r="A466" s="87" t="s">
        <v>670</v>
      </c>
      <c r="B466" s="109">
        <f t="shared" si="7"/>
        <v>0.333333333333333</v>
      </c>
      <c r="C466" s="88" t="s">
        <v>5</v>
      </c>
      <c r="D466" s="89">
        <v>625</v>
      </c>
    </row>
    <row r="467" spans="1:4">
      <c r="A467" s="87" t="s">
        <v>671</v>
      </c>
      <c r="B467" s="109">
        <f t="shared" si="7"/>
        <v>0.375</v>
      </c>
      <c r="C467" s="88" t="s">
        <v>7</v>
      </c>
      <c r="D467" s="89">
        <v>38</v>
      </c>
    </row>
    <row r="468" spans="1:4">
      <c r="A468" s="87" t="s">
        <v>672</v>
      </c>
      <c r="B468" s="109">
        <f t="shared" si="7"/>
        <v>0.416666666666667</v>
      </c>
      <c r="C468" s="88" t="s">
        <v>9</v>
      </c>
      <c r="D468" s="89">
        <v>310</v>
      </c>
    </row>
    <row r="469" spans="1:4">
      <c r="A469" s="87" t="s">
        <v>673</v>
      </c>
      <c r="B469" s="109">
        <f t="shared" si="7"/>
        <v>0.458333333333333</v>
      </c>
      <c r="C469" s="88" t="s">
        <v>11</v>
      </c>
      <c r="D469" s="89">
        <v>335</v>
      </c>
    </row>
    <row r="470" spans="1:4">
      <c r="A470" s="87" t="s">
        <v>674</v>
      </c>
      <c r="B470" s="109">
        <f t="shared" si="7"/>
        <v>0.5</v>
      </c>
      <c r="C470" s="88" t="s">
        <v>13</v>
      </c>
      <c r="D470" s="89">
        <v>313</v>
      </c>
    </row>
    <row r="471" spans="1:4">
      <c r="A471" s="87" t="s">
        <v>675</v>
      </c>
      <c r="B471" s="109">
        <f t="shared" si="7"/>
        <v>0.541666666666667</v>
      </c>
      <c r="C471" s="88" t="s">
        <v>15</v>
      </c>
      <c r="D471" s="89">
        <v>78</v>
      </c>
    </row>
    <row r="472" spans="1:4">
      <c r="A472" s="87" t="s">
        <v>676</v>
      </c>
      <c r="B472" s="109">
        <f t="shared" si="7"/>
        <v>0.583333333333333</v>
      </c>
      <c r="C472" s="88" t="s">
        <v>17</v>
      </c>
      <c r="D472" s="89">
        <v>151</v>
      </c>
    </row>
    <row r="473" spans="1:4">
      <c r="A473" s="87" t="s">
        <v>677</v>
      </c>
      <c r="B473" s="109">
        <f t="shared" si="7"/>
        <v>0.625</v>
      </c>
      <c r="C473" s="88" t="s">
        <v>19</v>
      </c>
      <c r="D473" s="89">
        <v>461</v>
      </c>
    </row>
    <row r="474" spans="1:4">
      <c r="A474" s="87" t="s">
        <v>678</v>
      </c>
      <c r="B474" s="109">
        <f t="shared" si="7"/>
        <v>0.666666666666667</v>
      </c>
      <c r="C474" s="88" t="s">
        <v>21</v>
      </c>
      <c r="D474" s="89">
        <v>255</v>
      </c>
    </row>
    <row r="475" spans="1:4">
      <c r="A475" s="87" t="s">
        <v>679</v>
      </c>
      <c r="B475" s="109">
        <f t="shared" si="7"/>
        <v>0.708333333333333</v>
      </c>
      <c r="C475" s="88" t="s">
        <v>23</v>
      </c>
      <c r="D475" s="89">
        <v>411</v>
      </c>
    </row>
    <row r="476" spans="1:4">
      <c r="A476" s="87" t="s">
        <v>680</v>
      </c>
      <c r="B476" s="109">
        <f t="shared" si="7"/>
        <v>0.75</v>
      </c>
      <c r="C476" s="88" t="s">
        <v>5</v>
      </c>
      <c r="D476" s="89">
        <v>202</v>
      </c>
    </row>
    <row r="477" spans="1:4">
      <c r="A477" s="87" t="s">
        <v>681</v>
      </c>
      <c r="B477" s="109">
        <f t="shared" si="7"/>
        <v>0.791666666666667</v>
      </c>
      <c r="C477" s="88" t="s">
        <v>7</v>
      </c>
      <c r="D477" s="89">
        <v>571</v>
      </c>
    </row>
    <row r="478" spans="1:4">
      <c r="A478" s="87" t="s">
        <v>682</v>
      </c>
      <c r="B478" s="109">
        <f t="shared" si="7"/>
        <v>0.833333333333333</v>
      </c>
      <c r="C478" s="88" t="s">
        <v>9</v>
      </c>
      <c r="D478" s="89">
        <v>386</v>
      </c>
    </row>
    <row r="479" spans="1:4">
      <c r="A479" s="87" t="s">
        <v>683</v>
      </c>
      <c r="B479" s="109">
        <f t="shared" si="7"/>
        <v>0.875</v>
      </c>
      <c r="C479" s="88" t="s">
        <v>11</v>
      </c>
      <c r="D479" s="89">
        <v>353</v>
      </c>
    </row>
    <row r="480" spans="1:4">
      <c r="A480" s="87" t="s">
        <v>684</v>
      </c>
      <c r="B480" s="109">
        <f t="shared" si="7"/>
        <v>0.916666666666667</v>
      </c>
      <c r="C480" s="88" t="s">
        <v>13</v>
      </c>
      <c r="D480" s="89">
        <v>650</v>
      </c>
    </row>
    <row r="481" spans="1:4">
      <c r="A481" s="87" t="s">
        <v>685</v>
      </c>
      <c r="B481" s="109">
        <f t="shared" si="7"/>
        <v>0.958333333333333</v>
      </c>
      <c r="C481" s="88" t="s">
        <v>15</v>
      </c>
      <c r="D481" s="89">
        <v>144</v>
      </c>
    </row>
    <row r="482" spans="1:4">
      <c r="A482" s="87" t="s">
        <v>686</v>
      </c>
      <c r="B482" s="109">
        <f t="shared" si="7"/>
        <v>0</v>
      </c>
      <c r="C482" s="88" t="s">
        <v>17</v>
      </c>
      <c r="D482" s="89">
        <v>267</v>
      </c>
    </row>
    <row r="483" spans="1:4">
      <c r="A483" s="87" t="s">
        <v>687</v>
      </c>
      <c r="B483" s="109">
        <f t="shared" si="7"/>
        <v>0.0416666666666667</v>
      </c>
      <c r="C483" s="88" t="s">
        <v>19</v>
      </c>
      <c r="D483" s="89">
        <v>480</v>
      </c>
    </row>
    <row r="484" spans="1:4">
      <c r="A484" s="87" t="s">
        <v>688</v>
      </c>
      <c r="B484" s="109">
        <f t="shared" si="7"/>
        <v>0.0833333333333333</v>
      </c>
      <c r="C484" s="88" t="s">
        <v>21</v>
      </c>
      <c r="D484" s="89">
        <v>141</v>
      </c>
    </row>
    <row r="485" spans="1:4">
      <c r="A485" s="87" t="s">
        <v>689</v>
      </c>
      <c r="B485" s="109">
        <f t="shared" si="7"/>
        <v>0.125</v>
      </c>
      <c r="C485" s="88" t="s">
        <v>23</v>
      </c>
      <c r="D485" s="89">
        <v>616</v>
      </c>
    </row>
    <row r="486" spans="1:4">
      <c r="A486" s="87" t="s">
        <v>690</v>
      </c>
      <c r="B486" s="109">
        <f t="shared" si="7"/>
        <v>0.166666666666667</v>
      </c>
      <c r="C486" s="88" t="s">
        <v>5</v>
      </c>
      <c r="D486" s="89">
        <v>432</v>
      </c>
    </row>
    <row r="487" spans="1:4">
      <c r="A487" s="87" t="s">
        <v>691</v>
      </c>
      <c r="B487" s="109">
        <f t="shared" si="7"/>
        <v>0.208333333333333</v>
      </c>
      <c r="C487" s="88" t="s">
        <v>7</v>
      </c>
      <c r="D487" s="89">
        <v>370</v>
      </c>
    </row>
    <row r="488" spans="1:4">
      <c r="A488" s="87" t="s">
        <v>692</v>
      </c>
      <c r="B488" s="109">
        <f t="shared" si="7"/>
        <v>0.25</v>
      </c>
      <c r="C488" s="88" t="s">
        <v>9</v>
      </c>
      <c r="D488" s="89">
        <v>305</v>
      </c>
    </row>
    <row r="489" spans="1:4">
      <c r="A489" s="87" t="s">
        <v>693</v>
      </c>
      <c r="B489" s="109">
        <f t="shared" si="7"/>
        <v>0.291666666666667</v>
      </c>
      <c r="C489" s="88" t="s">
        <v>11</v>
      </c>
      <c r="D489" s="89">
        <v>133</v>
      </c>
    </row>
    <row r="490" spans="1:4">
      <c r="A490" s="87" t="s">
        <v>694</v>
      </c>
      <c r="B490" s="109">
        <f t="shared" si="7"/>
        <v>0.333333333333333</v>
      </c>
      <c r="C490" s="88" t="s">
        <v>13</v>
      </c>
      <c r="D490" s="89">
        <v>253</v>
      </c>
    </row>
    <row r="491" spans="1:4">
      <c r="A491" s="87" t="s">
        <v>695</v>
      </c>
      <c r="B491" s="109">
        <f t="shared" si="7"/>
        <v>0.375</v>
      </c>
      <c r="C491" s="88" t="s">
        <v>15</v>
      </c>
      <c r="D491" s="89">
        <v>81</v>
      </c>
    </row>
    <row r="492" spans="1:4">
      <c r="A492" s="87" t="s">
        <v>696</v>
      </c>
      <c r="B492" s="109">
        <f t="shared" si="7"/>
        <v>0.416666666666667</v>
      </c>
      <c r="C492" s="88" t="s">
        <v>17</v>
      </c>
      <c r="D492" s="89">
        <v>586</v>
      </c>
    </row>
    <row r="493" spans="1:4">
      <c r="A493" s="87" t="s">
        <v>697</v>
      </c>
      <c r="B493" s="109">
        <f t="shared" si="7"/>
        <v>0.458333333333333</v>
      </c>
      <c r="C493" s="88" t="s">
        <v>19</v>
      </c>
      <c r="D493" s="89">
        <v>213</v>
      </c>
    </row>
    <row r="494" spans="1:4">
      <c r="A494" s="87" t="s">
        <v>698</v>
      </c>
      <c r="B494" s="109">
        <f t="shared" si="7"/>
        <v>0.5</v>
      </c>
      <c r="C494" s="88" t="s">
        <v>21</v>
      </c>
      <c r="D494" s="89">
        <v>323</v>
      </c>
    </row>
    <row r="495" spans="1:4">
      <c r="A495" s="87" t="s">
        <v>699</v>
      </c>
      <c r="B495" s="109">
        <f t="shared" si="7"/>
        <v>0.541666666666667</v>
      </c>
      <c r="C495" s="88" t="s">
        <v>23</v>
      </c>
      <c r="D495" s="89">
        <v>328</v>
      </c>
    </row>
    <row r="496" spans="1:4">
      <c r="A496" s="87" t="s">
        <v>700</v>
      </c>
      <c r="B496" s="109">
        <f t="shared" si="7"/>
        <v>0.583333333333333</v>
      </c>
      <c r="C496" s="88" t="s">
        <v>5</v>
      </c>
      <c r="D496" s="89">
        <v>107</v>
      </c>
    </row>
    <row r="497" spans="1:4">
      <c r="A497" s="87" t="s">
        <v>701</v>
      </c>
      <c r="B497" s="109">
        <f t="shared" si="7"/>
        <v>0.625</v>
      </c>
      <c r="C497" s="88" t="s">
        <v>7</v>
      </c>
      <c r="D497" s="89">
        <v>294</v>
      </c>
    </row>
    <row r="498" spans="1:4">
      <c r="A498" s="87" t="s">
        <v>702</v>
      </c>
      <c r="B498" s="109">
        <f t="shared" si="7"/>
        <v>0.666666666666667</v>
      </c>
      <c r="C498" s="88" t="s">
        <v>9</v>
      </c>
      <c r="D498" s="89">
        <v>83</v>
      </c>
    </row>
    <row r="499" spans="1:4">
      <c r="A499" s="87" t="s">
        <v>703</v>
      </c>
      <c r="B499" s="109">
        <f t="shared" si="7"/>
        <v>0.708333333333333</v>
      </c>
      <c r="C499" s="88" t="s">
        <v>11</v>
      </c>
      <c r="D499" s="89">
        <v>132</v>
      </c>
    </row>
    <row r="500" spans="1:4">
      <c r="A500" s="87" t="s">
        <v>704</v>
      </c>
      <c r="B500" s="109">
        <f t="shared" si="7"/>
        <v>0.75</v>
      </c>
      <c r="C500" s="88" t="s">
        <v>13</v>
      </c>
      <c r="D500" s="89">
        <v>490</v>
      </c>
    </row>
    <row r="501" spans="1:4">
      <c r="A501" s="87" t="s">
        <v>705</v>
      </c>
      <c r="B501" s="109">
        <f t="shared" si="7"/>
        <v>0.791666666666667</v>
      </c>
      <c r="C501" s="88" t="s">
        <v>15</v>
      </c>
      <c r="D501" s="89">
        <v>324</v>
      </c>
    </row>
    <row r="502" spans="1:4">
      <c r="A502" s="87" t="s">
        <v>706</v>
      </c>
      <c r="B502" s="109">
        <f t="shared" si="7"/>
        <v>0.833333333333333</v>
      </c>
      <c r="C502" s="88" t="s">
        <v>17</v>
      </c>
      <c r="D502" s="89">
        <v>509</v>
      </c>
    </row>
    <row r="503" spans="1:4">
      <c r="A503" s="87" t="s">
        <v>707</v>
      </c>
      <c r="B503" s="109">
        <f t="shared" si="7"/>
        <v>0.875</v>
      </c>
      <c r="C503" s="88" t="s">
        <v>19</v>
      </c>
      <c r="D503" s="89">
        <v>70</v>
      </c>
    </row>
    <row r="504" spans="1:4">
      <c r="A504" s="87" t="s">
        <v>708</v>
      </c>
      <c r="B504" s="109">
        <f t="shared" si="7"/>
        <v>0.916666666666667</v>
      </c>
      <c r="C504" s="88" t="s">
        <v>21</v>
      </c>
      <c r="D504" s="89">
        <v>10</v>
      </c>
    </row>
    <row r="505" spans="1:4">
      <c r="A505" s="87" t="s">
        <v>709</v>
      </c>
      <c r="B505" s="109">
        <f t="shared" si="7"/>
        <v>0.958333333333333</v>
      </c>
      <c r="C505" s="88" t="s">
        <v>23</v>
      </c>
      <c r="D505" s="89">
        <v>548</v>
      </c>
    </row>
    <row r="506" spans="1:4">
      <c r="A506" s="87" t="s">
        <v>710</v>
      </c>
      <c r="B506" s="109">
        <f t="shared" si="7"/>
        <v>0</v>
      </c>
      <c r="C506" s="88" t="s">
        <v>5</v>
      </c>
      <c r="D506" s="89">
        <v>306</v>
      </c>
    </row>
    <row r="507" spans="1:4">
      <c r="A507" s="87" t="s">
        <v>711</v>
      </c>
      <c r="B507" s="109">
        <f t="shared" si="7"/>
        <v>0.0416666666666667</v>
      </c>
      <c r="C507" s="88" t="s">
        <v>7</v>
      </c>
      <c r="D507" s="89">
        <v>119</v>
      </c>
    </row>
    <row r="508" spans="1:4">
      <c r="A508" s="87" t="s">
        <v>712</v>
      </c>
      <c r="B508" s="109">
        <f t="shared" si="7"/>
        <v>0.0833333333333333</v>
      </c>
      <c r="C508" s="88" t="s">
        <v>9</v>
      </c>
      <c r="D508" s="89">
        <v>43</v>
      </c>
    </row>
    <row r="509" spans="1:4">
      <c r="A509" s="87" t="s">
        <v>713</v>
      </c>
      <c r="B509" s="109">
        <f t="shared" si="7"/>
        <v>0.125</v>
      </c>
      <c r="C509" s="88" t="s">
        <v>11</v>
      </c>
      <c r="D509" s="89">
        <v>464</v>
      </c>
    </row>
    <row r="510" spans="1:4">
      <c r="A510" s="87" t="s">
        <v>714</v>
      </c>
      <c r="B510" s="109">
        <f t="shared" si="7"/>
        <v>0.166666666666667</v>
      </c>
      <c r="C510" s="88" t="s">
        <v>13</v>
      </c>
      <c r="D510" s="89">
        <v>391</v>
      </c>
    </row>
    <row r="511" spans="1:4">
      <c r="A511" s="87" t="s">
        <v>715</v>
      </c>
      <c r="B511" s="109">
        <f t="shared" si="7"/>
        <v>0.208333333333333</v>
      </c>
      <c r="C511" s="88" t="s">
        <v>15</v>
      </c>
      <c r="D511" s="89">
        <v>14</v>
      </c>
    </row>
    <row r="512" spans="1:4">
      <c r="A512" s="87" t="s">
        <v>716</v>
      </c>
      <c r="B512" s="109">
        <f t="shared" si="7"/>
        <v>0.25</v>
      </c>
      <c r="C512" s="88" t="s">
        <v>17</v>
      </c>
      <c r="D512" s="89">
        <v>600</v>
      </c>
    </row>
    <row r="513" spans="1:4">
      <c r="A513" s="87" t="s">
        <v>717</v>
      </c>
      <c r="B513" s="109">
        <f t="shared" si="7"/>
        <v>0.291666666666667</v>
      </c>
      <c r="C513" s="88" t="s">
        <v>19</v>
      </c>
      <c r="D513" s="89">
        <v>52</v>
      </c>
    </row>
    <row r="514" spans="1:4">
      <c r="A514" s="87" t="s">
        <v>718</v>
      </c>
      <c r="B514" s="109">
        <f t="shared" si="7"/>
        <v>0.333333333333333</v>
      </c>
      <c r="C514" s="88" t="s">
        <v>21</v>
      </c>
      <c r="D514" s="89">
        <v>559</v>
      </c>
    </row>
    <row r="515" spans="1:4">
      <c r="A515" s="87" t="s">
        <v>719</v>
      </c>
      <c r="B515" s="109">
        <f t="shared" ref="B515:B558" si="8">TIME(VALUE(RIGHT(A515,2)),0,0)</f>
        <v>0.375</v>
      </c>
      <c r="C515" s="88" t="s">
        <v>23</v>
      </c>
      <c r="D515" s="89">
        <v>607</v>
      </c>
    </row>
    <row r="516" spans="1:4">
      <c r="A516" s="87" t="s">
        <v>720</v>
      </c>
      <c r="B516" s="109">
        <f t="shared" si="8"/>
        <v>0.416666666666667</v>
      </c>
      <c r="C516" s="88" t="s">
        <v>5</v>
      </c>
      <c r="D516" s="89">
        <v>424</v>
      </c>
    </row>
    <row r="517" spans="1:4">
      <c r="A517" s="87" t="s">
        <v>721</v>
      </c>
      <c r="B517" s="109">
        <f t="shared" si="8"/>
        <v>0.458333333333333</v>
      </c>
      <c r="C517" s="88" t="s">
        <v>7</v>
      </c>
      <c r="D517" s="89">
        <v>625</v>
      </c>
    </row>
    <row r="518" spans="1:4">
      <c r="A518" s="87" t="s">
        <v>722</v>
      </c>
      <c r="B518" s="109">
        <f t="shared" si="8"/>
        <v>0.5</v>
      </c>
      <c r="C518" s="88" t="s">
        <v>9</v>
      </c>
      <c r="D518" s="89">
        <v>38</v>
      </c>
    </row>
    <row r="519" spans="1:4">
      <c r="A519" s="87" t="s">
        <v>723</v>
      </c>
      <c r="B519" s="109">
        <f t="shared" si="8"/>
        <v>0.541666666666667</v>
      </c>
      <c r="C519" s="88" t="s">
        <v>11</v>
      </c>
      <c r="D519" s="89">
        <v>310</v>
      </c>
    </row>
    <row r="520" spans="1:4">
      <c r="A520" s="87" t="s">
        <v>724</v>
      </c>
      <c r="B520" s="109">
        <f t="shared" si="8"/>
        <v>0.583333333333333</v>
      </c>
      <c r="C520" s="88" t="s">
        <v>13</v>
      </c>
      <c r="D520" s="89">
        <v>335</v>
      </c>
    </row>
    <row r="521" spans="1:4">
      <c r="A521" s="87" t="s">
        <v>725</v>
      </c>
      <c r="B521" s="109">
        <f t="shared" si="8"/>
        <v>0.625</v>
      </c>
      <c r="C521" s="88" t="s">
        <v>15</v>
      </c>
      <c r="D521" s="89">
        <v>313</v>
      </c>
    </row>
    <row r="522" spans="1:4">
      <c r="A522" s="87" t="s">
        <v>726</v>
      </c>
      <c r="B522" s="109">
        <f t="shared" si="8"/>
        <v>0.666666666666667</v>
      </c>
      <c r="C522" s="88" t="s">
        <v>17</v>
      </c>
      <c r="D522" s="89">
        <v>78</v>
      </c>
    </row>
    <row r="523" spans="1:4">
      <c r="A523" s="87" t="s">
        <v>727</v>
      </c>
      <c r="B523" s="109">
        <f t="shared" si="8"/>
        <v>0.708333333333333</v>
      </c>
      <c r="C523" s="88" t="s">
        <v>19</v>
      </c>
      <c r="D523" s="89">
        <v>151</v>
      </c>
    </row>
    <row r="524" spans="1:4">
      <c r="A524" s="87" t="s">
        <v>728</v>
      </c>
      <c r="B524" s="109">
        <f t="shared" si="8"/>
        <v>0.75</v>
      </c>
      <c r="C524" s="88" t="s">
        <v>21</v>
      </c>
      <c r="D524" s="89">
        <v>461</v>
      </c>
    </row>
    <row r="525" spans="1:4">
      <c r="A525" s="87" t="s">
        <v>729</v>
      </c>
      <c r="B525" s="109">
        <f t="shared" si="8"/>
        <v>0.791666666666667</v>
      </c>
      <c r="C525" s="88" t="s">
        <v>23</v>
      </c>
      <c r="D525" s="89">
        <v>523</v>
      </c>
    </row>
    <row r="526" spans="1:4">
      <c r="A526" s="87" t="s">
        <v>730</v>
      </c>
      <c r="B526" s="109">
        <f t="shared" si="8"/>
        <v>0.833333333333333</v>
      </c>
      <c r="C526" s="88" t="s">
        <v>5</v>
      </c>
      <c r="D526" s="89">
        <v>789</v>
      </c>
    </row>
    <row r="527" spans="1:4">
      <c r="A527" s="87" t="s">
        <v>731</v>
      </c>
      <c r="B527" s="109">
        <f t="shared" si="8"/>
        <v>0.875</v>
      </c>
      <c r="C527" s="88" t="s">
        <v>7</v>
      </c>
      <c r="D527" s="89">
        <v>654</v>
      </c>
    </row>
    <row r="528" spans="1:4">
      <c r="A528" s="87" t="s">
        <v>732</v>
      </c>
      <c r="B528" s="109">
        <f t="shared" si="8"/>
        <v>0.916666666666667</v>
      </c>
      <c r="C528" s="88" t="s">
        <v>9</v>
      </c>
      <c r="D528" s="89">
        <v>125</v>
      </c>
    </row>
    <row r="529" spans="1:4">
      <c r="A529" s="87" t="s">
        <v>733</v>
      </c>
      <c r="B529" s="109">
        <f t="shared" si="8"/>
        <v>0.958333333333333</v>
      </c>
      <c r="C529" s="88" t="s">
        <v>11</v>
      </c>
      <c r="D529" s="89">
        <v>658</v>
      </c>
    </row>
    <row r="530" spans="1:4">
      <c r="A530" s="87" t="s">
        <v>734</v>
      </c>
      <c r="B530" s="109">
        <f t="shared" si="8"/>
        <v>0</v>
      </c>
      <c r="C530" s="88" t="s">
        <v>15</v>
      </c>
      <c r="D530" s="89">
        <v>399</v>
      </c>
    </row>
    <row r="531" spans="1:4">
      <c r="A531" s="87" t="s">
        <v>735</v>
      </c>
      <c r="B531" s="109">
        <f t="shared" si="8"/>
        <v>0.0416666666666667</v>
      </c>
      <c r="C531" s="88" t="s">
        <v>17</v>
      </c>
      <c r="D531" s="89">
        <v>539</v>
      </c>
    </row>
    <row r="532" spans="1:4">
      <c r="A532" s="87" t="s">
        <v>736</v>
      </c>
      <c r="B532" s="109">
        <f t="shared" si="8"/>
        <v>0.0833333333333333</v>
      </c>
      <c r="C532" s="88" t="s">
        <v>19</v>
      </c>
      <c r="D532" s="89">
        <v>534</v>
      </c>
    </row>
    <row r="533" spans="1:4">
      <c r="A533" s="87" t="s">
        <v>737</v>
      </c>
      <c r="B533" s="109">
        <f t="shared" si="8"/>
        <v>0.125</v>
      </c>
      <c r="C533" s="88" t="s">
        <v>21</v>
      </c>
      <c r="D533" s="89">
        <v>230</v>
      </c>
    </row>
    <row r="534" spans="1:4">
      <c r="A534" s="87" t="s">
        <v>738</v>
      </c>
      <c r="B534" s="109">
        <f t="shared" si="8"/>
        <v>0.166666666666667</v>
      </c>
      <c r="C534" s="88" t="s">
        <v>23</v>
      </c>
      <c r="D534" s="89">
        <v>438</v>
      </c>
    </row>
    <row r="535" spans="1:4">
      <c r="A535" s="87" t="s">
        <v>734</v>
      </c>
      <c r="B535" s="109">
        <f t="shared" si="8"/>
        <v>0</v>
      </c>
      <c r="C535" s="88" t="s">
        <v>7</v>
      </c>
      <c r="D535" s="89">
        <v>74</v>
      </c>
    </row>
    <row r="536" spans="1:4">
      <c r="A536" s="87" t="s">
        <v>735</v>
      </c>
      <c r="B536" s="109">
        <f t="shared" si="8"/>
        <v>0.0416666666666667</v>
      </c>
      <c r="C536" s="88" t="s">
        <v>9</v>
      </c>
      <c r="D536" s="89">
        <v>197</v>
      </c>
    </row>
    <row r="537" spans="1:4">
      <c r="A537" s="87" t="s">
        <v>736</v>
      </c>
      <c r="B537" s="109">
        <f t="shared" si="8"/>
        <v>0.0833333333333333</v>
      </c>
      <c r="C537" s="88" t="s">
        <v>11</v>
      </c>
      <c r="D537" s="89">
        <v>628</v>
      </c>
    </row>
    <row r="538" spans="1:4">
      <c r="A538" s="87" t="s">
        <v>737</v>
      </c>
      <c r="B538" s="109">
        <f t="shared" si="8"/>
        <v>0.125</v>
      </c>
      <c r="C538" s="88" t="s">
        <v>13</v>
      </c>
      <c r="D538" s="89">
        <v>108</v>
      </c>
    </row>
    <row r="539" spans="1:4">
      <c r="A539" s="87" t="s">
        <v>738</v>
      </c>
      <c r="B539" s="109">
        <f t="shared" si="8"/>
        <v>0.166666666666667</v>
      </c>
      <c r="C539" s="88" t="s">
        <v>15</v>
      </c>
      <c r="D539" s="89">
        <v>334</v>
      </c>
    </row>
    <row r="540" spans="1:4">
      <c r="A540" s="87" t="s">
        <v>739</v>
      </c>
      <c r="B540" s="109">
        <f t="shared" si="8"/>
        <v>0.208333333333333</v>
      </c>
      <c r="C540" s="88" t="s">
        <v>17</v>
      </c>
      <c r="D540" s="89">
        <v>195</v>
      </c>
    </row>
    <row r="541" spans="1:4">
      <c r="A541" s="87" t="s">
        <v>740</v>
      </c>
      <c r="B541" s="109">
        <f t="shared" si="8"/>
        <v>0.25</v>
      </c>
      <c r="C541" s="88" t="s">
        <v>19</v>
      </c>
      <c r="D541" s="89">
        <v>184</v>
      </c>
    </row>
    <row r="542" spans="1:4">
      <c r="A542" s="87" t="s">
        <v>741</v>
      </c>
      <c r="B542" s="109">
        <f t="shared" si="8"/>
        <v>0.291666666666667</v>
      </c>
      <c r="C542" s="88" t="s">
        <v>21</v>
      </c>
      <c r="D542" s="89">
        <v>427</v>
      </c>
    </row>
    <row r="543" spans="1:4">
      <c r="A543" s="87" t="s">
        <v>742</v>
      </c>
      <c r="B543" s="109">
        <f t="shared" si="8"/>
        <v>0.333333333333333</v>
      </c>
      <c r="C543" s="88" t="s">
        <v>23</v>
      </c>
      <c r="D543" s="89">
        <v>19</v>
      </c>
    </row>
    <row r="544" spans="1:4">
      <c r="A544" s="87" t="s">
        <v>743</v>
      </c>
      <c r="B544" s="109">
        <f t="shared" si="8"/>
        <v>0.375</v>
      </c>
      <c r="C544" s="88" t="s">
        <v>5</v>
      </c>
      <c r="D544" s="89">
        <v>299</v>
      </c>
    </row>
    <row r="545" spans="1:4">
      <c r="A545" s="87" t="s">
        <v>744</v>
      </c>
      <c r="B545" s="109">
        <f t="shared" si="8"/>
        <v>0.416666666666667</v>
      </c>
      <c r="C545" s="88" t="s">
        <v>7</v>
      </c>
      <c r="D545" s="89">
        <v>627</v>
      </c>
    </row>
    <row r="546" spans="1:4">
      <c r="A546" s="87" t="s">
        <v>745</v>
      </c>
      <c r="B546" s="109">
        <f t="shared" si="8"/>
        <v>0.458333333333333</v>
      </c>
      <c r="C546" s="88" t="s">
        <v>9</v>
      </c>
      <c r="D546" s="89">
        <v>620</v>
      </c>
    </row>
    <row r="547" spans="1:4">
      <c r="A547" s="87" t="s">
        <v>746</v>
      </c>
      <c r="B547" s="109">
        <f t="shared" si="8"/>
        <v>0.5</v>
      </c>
      <c r="C547" s="88" t="s">
        <v>11</v>
      </c>
      <c r="D547" s="89">
        <v>106</v>
      </c>
    </row>
    <row r="548" spans="1:4">
      <c r="A548" s="87" t="s">
        <v>747</v>
      </c>
      <c r="B548" s="109">
        <f t="shared" si="8"/>
        <v>0.541666666666667</v>
      </c>
      <c r="C548" s="88" t="s">
        <v>13</v>
      </c>
      <c r="D548" s="89">
        <v>280</v>
      </c>
    </row>
    <row r="549" spans="1:4">
      <c r="A549" s="87" t="s">
        <v>748</v>
      </c>
      <c r="B549" s="109">
        <f t="shared" si="8"/>
        <v>0.583333333333333</v>
      </c>
      <c r="C549" s="88" t="s">
        <v>15</v>
      </c>
      <c r="D549" s="89">
        <v>457</v>
      </c>
    </row>
    <row r="550" spans="1:4">
      <c r="A550" s="87" t="s">
        <v>749</v>
      </c>
      <c r="B550" s="109">
        <f t="shared" si="8"/>
        <v>0.625</v>
      </c>
      <c r="C550" s="88" t="s">
        <v>17</v>
      </c>
      <c r="D550" s="89">
        <v>15</v>
      </c>
    </row>
    <row r="551" spans="1:4">
      <c r="A551" s="87" t="s">
        <v>750</v>
      </c>
      <c r="B551" s="109">
        <f t="shared" si="8"/>
        <v>0.666666666666667</v>
      </c>
      <c r="C551" s="88" t="s">
        <v>19</v>
      </c>
      <c r="D551" s="89">
        <v>208</v>
      </c>
    </row>
    <row r="552" spans="1:4">
      <c r="A552" s="87" t="s">
        <v>751</v>
      </c>
      <c r="B552" s="109">
        <f t="shared" si="8"/>
        <v>0.708333333333333</v>
      </c>
      <c r="C552" s="88" t="s">
        <v>21</v>
      </c>
      <c r="D552" s="89">
        <v>136</v>
      </c>
    </row>
    <row r="553" spans="1:4">
      <c r="A553" s="87" t="s">
        <v>752</v>
      </c>
      <c r="B553" s="109">
        <f t="shared" si="8"/>
        <v>0.75</v>
      </c>
      <c r="C553" s="88" t="s">
        <v>23</v>
      </c>
      <c r="D553" s="89">
        <v>65</v>
      </c>
    </row>
    <row r="554" spans="1:4">
      <c r="A554" s="87" t="s">
        <v>753</v>
      </c>
      <c r="B554" s="109">
        <f t="shared" si="8"/>
        <v>0.791666666666667</v>
      </c>
      <c r="C554" s="88" t="s">
        <v>5</v>
      </c>
      <c r="D554" s="89">
        <v>25</v>
      </c>
    </row>
    <row r="555" spans="1:4">
      <c r="A555" s="87" t="s">
        <v>754</v>
      </c>
      <c r="B555" s="109">
        <f t="shared" si="8"/>
        <v>0.833333333333333</v>
      </c>
      <c r="C555" s="88" t="s">
        <v>7</v>
      </c>
      <c r="D555" s="89">
        <v>22</v>
      </c>
    </row>
    <row r="556" spans="1:4">
      <c r="A556" s="87" t="s">
        <v>755</v>
      </c>
      <c r="B556" s="109">
        <f t="shared" si="8"/>
        <v>0.875</v>
      </c>
      <c r="C556" s="88" t="s">
        <v>9</v>
      </c>
      <c r="D556" s="89">
        <v>27</v>
      </c>
    </row>
    <row r="557" spans="1:4">
      <c r="A557" s="87" t="s">
        <v>756</v>
      </c>
      <c r="B557" s="109">
        <f t="shared" si="8"/>
        <v>0.916666666666667</v>
      </c>
      <c r="C557" s="88" t="s">
        <v>11</v>
      </c>
      <c r="D557" s="89">
        <v>30</v>
      </c>
    </row>
    <row r="558" ht="15.15" spans="1:4">
      <c r="A558" s="90" t="s">
        <v>757</v>
      </c>
      <c r="B558" s="110">
        <f t="shared" si="8"/>
        <v>0.958333333333333</v>
      </c>
      <c r="C558" s="91" t="s">
        <v>13</v>
      </c>
      <c r="D558" s="92">
        <v>273</v>
      </c>
    </row>
    <row r="559" ht="15.15" spans="1:4">
      <c r="A559" s="11"/>
      <c r="B559" s="11"/>
      <c r="C559" s="111" t="s">
        <v>759</v>
      </c>
      <c r="D559" s="112">
        <f>SUM(D2:D558)</f>
        <v>186183</v>
      </c>
    </row>
  </sheetData>
  <autoFilter xmlns:etc="http://www.wps.cn/officeDocument/2017/etCustomData" ref="A1:D55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4"/>
  <sheetViews>
    <sheetView workbookViewId="0">
      <selection activeCell="B554" sqref="A1:B554"/>
    </sheetView>
  </sheetViews>
  <sheetFormatPr defaultColWidth="9" defaultRowHeight="14.4" outlineLevelCol="1"/>
  <cols>
    <col min="1" max="1" width="17" customWidth="1"/>
    <col min="2" max="2" width="21.6666666666667" customWidth="1"/>
  </cols>
  <sheetData>
    <row r="1" ht="15.15" spans="1:2">
      <c r="A1" s="93" t="s">
        <v>760</v>
      </c>
      <c r="B1" s="94" t="s">
        <v>761</v>
      </c>
    </row>
    <row r="2" spans="1:2">
      <c r="A2" s="104" t="s">
        <v>4</v>
      </c>
      <c r="B2" s="96">
        <v>156</v>
      </c>
    </row>
    <row r="3" spans="1:2">
      <c r="A3" s="105" t="s">
        <v>6</v>
      </c>
      <c r="B3" s="100">
        <v>237</v>
      </c>
    </row>
    <row r="4" spans="1:2">
      <c r="A4" s="105" t="s">
        <v>8</v>
      </c>
      <c r="B4" s="100">
        <v>191</v>
      </c>
    </row>
    <row r="5" spans="1:2">
      <c r="A5" s="105" t="s">
        <v>10</v>
      </c>
      <c r="B5" s="100">
        <v>296</v>
      </c>
    </row>
    <row r="6" spans="1:2">
      <c r="A6" s="105" t="s">
        <v>12</v>
      </c>
      <c r="B6" s="100">
        <v>42</v>
      </c>
    </row>
    <row r="7" spans="1:2">
      <c r="A7" s="105" t="s">
        <v>14</v>
      </c>
      <c r="B7" s="100">
        <v>64</v>
      </c>
    </row>
    <row r="8" spans="1:2">
      <c r="A8" s="105" t="s">
        <v>16</v>
      </c>
      <c r="B8" s="100">
        <v>639</v>
      </c>
    </row>
    <row r="9" spans="1:2">
      <c r="A9" s="105" t="s">
        <v>18</v>
      </c>
      <c r="B9" s="100">
        <v>472</v>
      </c>
    </row>
    <row r="10" spans="1:2">
      <c r="A10" s="105" t="s">
        <v>20</v>
      </c>
      <c r="B10" s="100">
        <v>422</v>
      </c>
    </row>
    <row r="11" spans="1:2">
      <c r="A11" s="105" t="s">
        <v>22</v>
      </c>
      <c r="B11" s="100">
        <v>319</v>
      </c>
    </row>
    <row r="12" spans="1:2">
      <c r="A12" s="105" t="s">
        <v>24</v>
      </c>
      <c r="B12" s="100">
        <v>102</v>
      </c>
    </row>
    <row r="13" spans="1:2">
      <c r="A13" s="105" t="s">
        <v>25</v>
      </c>
      <c r="B13" s="100">
        <v>580</v>
      </c>
    </row>
    <row r="14" spans="1:2">
      <c r="A14" s="105" t="s">
        <v>26</v>
      </c>
      <c r="B14" s="100">
        <v>215</v>
      </c>
    </row>
    <row r="15" spans="1:2">
      <c r="A15" s="105" t="s">
        <v>27</v>
      </c>
      <c r="B15" s="100">
        <v>375</v>
      </c>
    </row>
    <row r="16" spans="1:2">
      <c r="A16" s="105" t="s">
        <v>28</v>
      </c>
      <c r="B16" s="100">
        <v>21</v>
      </c>
    </row>
    <row r="17" spans="1:2">
      <c r="A17" s="105" t="s">
        <v>29</v>
      </c>
      <c r="B17" s="100">
        <v>92</v>
      </c>
    </row>
    <row r="18" spans="1:2">
      <c r="A18" s="105" t="s">
        <v>30</v>
      </c>
      <c r="B18" s="100">
        <v>529</v>
      </c>
    </row>
    <row r="19" spans="1:2">
      <c r="A19" s="105" t="s">
        <v>31</v>
      </c>
      <c r="B19" s="100">
        <v>582</v>
      </c>
    </row>
    <row r="20" spans="1:2">
      <c r="A20" s="105" t="s">
        <v>32</v>
      </c>
      <c r="B20" s="100">
        <v>621</v>
      </c>
    </row>
    <row r="21" spans="1:2">
      <c r="A21" s="105" t="s">
        <v>33</v>
      </c>
      <c r="B21" s="100">
        <v>166</v>
      </c>
    </row>
    <row r="22" spans="1:2">
      <c r="A22" s="105" t="s">
        <v>34</v>
      </c>
      <c r="B22" s="100">
        <v>29</v>
      </c>
    </row>
    <row r="23" spans="1:2">
      <c r="A23" s="105" t="s">
        <v>35</v>
      </c>
      <c r="B23" s="100">
        <v>610</v>
      </c>
    </row>
    <row r="24" spans="1:2">
      <c r="A24" s="105" t="s">
        <v>36</v>
      </c>
      <c r="B24" s="100">
        <v>458</v>
      </c>
    </row>
    <row r="25" spans="1:2">
      <c r="A25" s="105" t="s">
        <v>37</v>
      </c>
      <c r="B25" s="100">
        <v>603</v>
      </c>
    </row>
    <row r="26" spans="1:2">
      <c r="A26" s="105" t="s">
        <v>38</v>
      </c>
      <c r="B26" s="100">
        <v>598</v>
      </c>
    </row>
    <row r="27" spans="1:2">
      <c r="A27" s="105" t="s">
        <v>39</v>
      </c>
      <c r="B27" s="100">
        <v>211</v>
      </c>
    </row>
    <row r="28" spans="1:2">
      <c r="A28" s="105" t="s">
        <v>40</v>
      </c>
      <c r="B28" s="100">
        <v>101</v>
      </c>
    </row>
    <row r="29" spans="1:2">
      <c r="A29" s="105" t="s">
        <v>41</v>
      </c>
      <c r="B29" s="100">
        <v>146</v>
      </c>
    </row>
    <row r="30" spans="1:2">
      <c r="A30" s="105" t="s">
        <v>42</v>
      </c>
      <c r="B30" s="100">
        <v>138</v>
      </c>
    </row>
    <row r="31" spans="1:2">
      <c r="A31" s="105" t="s">
        <v>43</v>
      </c>
      <c r="B31" s="100">
        <v>304</v>
      </c>
    </row>
    <row r="32" spans="1:2">
      <c r="A32" s="105" t="s">
        <v>44</v>
      </c>
      <c r="B32" s="100">
        <v>150</v>
      </c>
    </row>
    <row r="33" spans="1:2">
      <c r="A33" s="105" t="s">
        <v>45</v>
      </c>
      <c r="B33" s="100">
        <v>545</v>
      </c>
    </row>
    <row r="34" spans="1:2">
      <c r="A34" s="105" t="s">
        <v>46</v>
      </c>
      <c r="B34" s="100">
        <v>506</v>
      </c>
    </row>
    <row r="35" spans="1:2">
      <c r="A35" s="105" t="s">
        <v>47</v>
      </c>
      <c r="B35" s="100">
        <v>219</v>
      </c>
    </row>
    <row r="36" spans="1:2">
      <c r="A36" s="105" t="s">
        <v>48</v>
      </c>
      <c r="B36" s="100">
        <v>91</v>
      </c>
    </row>
    <row r="37" spans="1:2">
      <c r="A37" s="105" t="s">
        <v>49</v>
      </c>
      <c r="B37" s="100">
        <v>55</v>
      </c>
    </row>
    <row r="38" spans="1:2">
      <c r="A38" s="105" t="s">
        <v>50</v>
      </c>
      <c r="B38" s="100">
        <v>403</v>
      </c>
    </row>
    <row r="39" spans="1:2">
      <c r="A39" s="105" t="s">
        <v>51</v>
      </c>
      <c r="B39" s="100">
        <v>516</v>
      </c>
    </row>
    <row r="40" spans="1:2">
      <c r="A40" s="105" t="s">
        <v>52</v>
      </c>
      <c r="B40" s="100">
        <v>284</v>
      </c>
    </row>
    <row r="41" spans="1:2">
      <c r="A41" s="105" t="s">
        <v>53</v>
      </c>
      <c r="B41" s="100">
        <v>287</v>
      </c>
    </row>
    <row r="42" spans="1:2">
      <c r="A42" s="105" t="s">
        <v>54</v>
      </c>
      <c r="B42" s="100">
        <v>257</v>
      </c>
    </row>
    <row r="43" spans="1:2">
      <c r="A43" s="105" t="s">
        <v>55</v>
      </c>
      <c r="B43" s="100">
        <v>444</v>
      </c>
    </row>
    <row r="44" spans="1:2">
      <c r="A44" s="105" t="s">
        <v>56</v>
      </c>
      <c r="B44" s="100">
        <v>410</v>
      </c>
    </row>
    <row r="45" spans="1:2">
      <c r="A45" s="105" t="s">
        <v>57</v>
      </c>
      <c r="B45" s="100">
        <v>617</v>
      </c>
    </row>
    <row r="46" spans="1:2">
      <c r="A46" s="105" t="s">
        <v>58</v>
      </c>
      <c r="B46" s="100">
        <v>611</v>
      </c>
    </row>
    <row r="47" spans="1:2">
      <c r="A47" s="105" t="s">
        <v>59</v>
      </c>
      <c r="B47" s="100">
        <v>240</v>
      </c>
    </row>
    <row r="48" spans="1:2">
      <c r="A48" s="105" t="s">
        <v>60</v>
      </c>
      <c r="B48" s="100">
        <v>129</v>
      </c>
    </row>
    <row r="49" spans="1:2">
      <c r="A49" s="105" t="s">
        <v>61</v>
      </c>
      <c r="B49" s="100">
        <v>504</v>
      </c>
    </row>
    <row r="50" spans="1:2">
      <c r="A50" s="105" t="s">
        <v>62</v>
      </c>
      <c r="B50" s="100">
        <v>409</v>
      </c>
    </row>
    <row r="51" spans="1:2">
      <c r="A51" s="105" t="s">
        <v>63</v>
      </c>
      <c r="B51" s="100">
        <v>333</v>
      </c>
    </row>
    <row r="52" spans="1:2">
      <c r="A52" s="105" t="s">
        <v>64</v>
      </c>
      <c r="B52" s="100">
        <v>186</v>
      </c>
    </row>
    <row r="53" spans="1:2">
      <c r="A53" s="105" t="s">
        <v>65</v>
      </c>
      <c r="B53" s="100">
        <v>354</v>
      </c>
    </row>
    <row r="54" spans="1:2">
      <c r="A54" s="105" t="s">
        <v>66</v>
      </c>
      <c r="B54" s="100">
        <v>470</v>
      </c>
    </row>
    <row r="55" spans="1:2">
      <c r="A55" s="105" t="s">
        <v>67</v>
      </c>
      <c r="B55" s="100">
        <v>175</v>
      </c>
    </row>
    <row r="56" spans="1:2">
      <c r="A56" s="105" t="s">
        <v>68</v>
      </c>
      <c r="B56" s="100">
        <v>290</v>
      </c>
    </row>
    <row r="57" spans="1:2">
      <c r="A57" s="105" t="s">
        <v>69</v>
      </c>
      <c r="B57" s="100">
        <v>174</v>
      </c>
    </row>
    <row r="58" spans="1:2">
      <c r="A58" s="105" t="s">
        <v>70</v>
      </c>
      <c r="B58" s="100">
        <v>76</v>
      </c>
    </row>
    <row r="59" spans="1:2">
      <c r="A59" s="105" t="s">
        <v>71</v>
      </c>
      <c r="B59" s="100">
        <v>162</v>
      </c>
    </row>
    <row r="60" spans="1:2">
      <c r="A60" s="105" t="s">
        <v>72</v>
      </c>
      <c r="B60" s="100">
        <v>182</v>
      </c>
    </row>
    <row r="61" spans="1:2">
      <c r="A61" s="105" t="s">
        <v>73</v>
      </c>
      <c r="B61" s="100">
        <v>248</v>
      </c>
    </row>
    <row r="62" spans="1:2">
      <c r="A62" s="105" t="s">
        <v>74</v>
      </c>
      <c r="B62" s="100">
        <v>423</v>
      </c>
    </row>
    <row r="63" spans="1:2">
      <c r="A63" s="105" t="s">
        <v>75</v>
      </c>
      <c r="B63" s="100">
        <v>178</v>
      </c>
    </row>
    <row r="64" spans="1:2">
      <c r="A64" s="105" t="s">
        <v>76</v>
      </c>
      <c r="B64" s="100">
        <v>550</v>
      </c>
    </row>
    <row r="65" spans="1:2">
      <c r="A65" s="105" t="s">
        <v>77</v>
      </c>
      <c r="B65" s="100">
        <v>474</v>
      </c>
    </row>
    <row r="66" spans="1:2">
      <c r="A66" s="105" t="s">
        <v>78</v>
      </c>
      <c r="B66" s="100">
        <v>575</v>
      </c>
    </row>
    <row r="67" spans="1:2">
      <c r="A67" s="105" t="s">
        <v>79</v>
      </c>
      <c r="B67" s="100">
        <v>385</v>
      </c>
    </row>
    <row r="68" spans="1:2">
      <c r="A68" s="105" t="s">
        <v>80</v>
      </c>
      <c r="B68" s="100">
        <v>238</v>
      </c>
    </row>
    <row r="69" spans="1:2">
      <c r="A69" s="105" t="s">
        <v>81</v>
      </c>
      <c r="B69" s="100">
        <v>326</v>
      </c>
    </row>
    <row r="70" spans="1:2">
      <c r="A70" s="105" t="s">
        <v>82</v>
      </c>
      <c r="B70" s="100">
        <v>246</v>
      </c>
    </row>
    <row r="71" spans="1:2">
      <c r="A71" s="105" t="s">
        <v>83</v>
      </c>
      <c r="B71" s="100">
        <v>344</v>
      </c>
    </row>
    <row r="72" spans="1:2">
      <c r="A72" s="105" t="s">
        <v>84</v>
      </c>
      <c r="B72" s="100">
        <v>594</v>
      </c>
    </row>
    <row r="73" spans="1:2">
      <c r="A73" s="105" t="s">
        <v>85</v>
      </c>
      <c r="B73" s="100">
        <v>856</v>
      </c>
    </row>
    <row r="74" spans="1:2">
      <c r="A74" s="105" t="s">
        <v>86</v>
      </c>
      <c r="B74" s="100">
        <v>503</v>
      </c>
    </row>
    <row r="75" spans="1:2">
      <c r="A75" s="105" t="s">
        <v>87</v>
      </c>
      <c r="B75" s="100">
        <v>62</v>
      </c>
    </row>
    <row r="76" spans="1:2">
      <c r="A76" s="105" t="s">
        <v>88</v>
      </c>
      <c r="B76" s="100">
        <v>41</v>
      </c>
    </row>
    <row r="77" spans="1:2">
      <c r="A77" s="105" t="s">
        <v>89</v>
      </c>
      <c r="B77" s="100">
        <v>635</v>
      </c>
    </row>
    <row r="78" spans="1:2">
      <c r="A78" s="105" t="s">
        <v>90</v>
      </c>
      <c r="B78" s="100">
        <v>6</v>
      </c>
    </row>
    <row r="79" spans="1:2">
      <c r="A79" s="105" t="s">
        <v>91</v>
      </c>
      <c r="B79" s="100">
        <v>23</v>
      </c>
    </row>
    <row r="80" spans="1:2">
      <c r="A80" s="105" t="s">
        <v>92</v>
      </c>
      <c r="B80" s="100">
        <v>271</v>
      </c>
    </row>
    <row r="81" spans="1:2">
      <c r="A81" s="105" t="s">
        <v>93</v>
      </c>
      <c r="B81" s="100">
        <v>96</v>
      </c>
    </row>
    <row r="82" spans="1:2">
      <c r="A82" s="105" t="s">
        <v>94</v>
      </c>
      <c r="B82" s="100">
        <v>307</v>
      </c>
    </row>
    <row r="83" spans="1:2">
      <c r="A83" s="105" t="s">
        <v>95</v>
      </c>
      <c r="B83" s="100">
        <v>349</v>
      </c>
    </row>
    <row r="84" spans="1:2">
      <c r="A84" s="105" t="s">
        <v>96</v>
      </c>
      <c r="B84" s="100">
        <v>97</v>
      </c>
    </row>
    <row r="85" spans="1:2">
      <c r="A85" s="105" t="s">
        <v>97</v>
      </c>
      <c r="B85" s="100">
        <v>274</v>
      </c>
    </row>
    <row r="86" spans="1:2">
      <c r="A86" s="105" t="s">
        <v>98</v>
      </c>
      <c r="B86" s="100">
        <v>4</v>
      </c>
    </row>
    <row r="87" spans="1:2">
      <c r="A87" s="105" t="s">
        <v>99</v>
      </c>
      <c r="B87" s="100">
        <v>60</v>
      </c>
    </row>
    <row r="88" spans="1:2">
      <c r="A88" s="105" t="s">
        <v>100</v>
      </c>
      <c r="B88" s="100">
        <v>568</v>
      </c>
    </row>
    <row r="89" spans="1:2">
      <c r="A89" s="105" t="s">
        <v>101</v>
      </c>
      <c r="B89" s="100">
        <v>396</v>
      </c>
    </row>
    <row r="90" spans="1:2">
      <c r="A90" s="105" t="s">
        <v>102</v>
      </c>
      <c r="B90" s="100">
        <v>158</v>
      </c>
    </row>
    <row r="91" spans="1:2">
      <c r="A91" s="105" t="s">
        <v>103</v>
      </c>
      <c r="B91" s="100">
        <v>608</v>
      </c>
    </row>
    <row r="92" spans="1:2">
      <c r="A92" s="105" t="s">
        <v>104</v>
      </c>
      <c r="B92" s="100">
        <v>493</v>
      </c>
    </row>
    <row r="93" spans="1:2">
      <c r="A93" s="105" t="s">
        <v>105</v>
      </c>
      <c r="B93" s="100">
        <v>98</v>
      </c>
    </row>
    <row r="94" spans="1:2">
      <c r="A94" s="105" t="s">
        <v>106</v>
      </c>
      <c r="B94" s="100">
        <v>333</v>
      </c>
    </row>
    <row r="95" spans="1:2">
      <c r="A95" s="105" t="s">
        <v>107</v>
      </c>
      <c r="B95" s="100">
        <v>186</v>
      </c>
    </row>
    <row r="96" spans="1:2">
      <c r="A96" s="105" t="s">
        <v>108</v>
      </c>
      <c r="B96" s="100">
        <v>354</v>
      </c>
    </row>
    <row r="97" spans="1:2">
      <c r="A97" s="105" t="s">
        <v>109</v>
      </c>
      <c r="B97" s="100">
        <v>470</v>
      </c>
    </row>
    <row r="98" spans="1:2">
      <c r="A98" s="105" t="s">
        <v>158</v>
      </c>
      <c r="B98" s="100">
        <v>434</v>
      </c>
    </row>
    <row r="99" spans="1:2">
      <c r="A99" s="105" t="s">
        <v>159</v>
      </c>
      <c r="B99" s="100">
        <v>169</v>
      </c>
    </row>
    <row r="100" spans="1:2">
      <c r="A100" s="105" t="s">
        <v>160</v>
      </c>
      <c r="B100" s="100">
        <v>356</v>
      </c>
    </row>
    <row r="101" spans="1:2">
      <c r="A101" s="105" t="s">
        <v>161</v>
      </c>
      <c r="B101" s="100">
        <v>245</v>
      </c>
    </row>
    <row r="102" spans="1:2">
      <c r="A102" s="105" t="s">
        <v>162</v>
      </c>
      <c r="B102" s="100">
        <v>596</v>
      </c>
    </row>
    <row r="103" spans="1:2">
      <c r="A103" s="105" t="s">
        <v>163</v>
      </c>
      <c r="B103" s="100">
        <v>309</v>
      </c>
    </row>
    <row r="104" spans="1:2">
      <c r="A104" s="105" t="s">
        <v>164</v>
      </c>
      <c r="B104" s="100">
        <v>475</v>
      </c>
    </row>
    <row r="105" spans="1:2">
      <c r="A105" s="105" t="s">
        <v>165</v>
      </c>
      <c r="B105" s="100">
        <v>361</v>
      </c>
    </row>
    <row r="106" spans="1:2">
      <c r="A106" s="105" t="s">
        <v>166</v>
      </c>
      <c r="B106" s="100">
        <v>563</v>
      </c>
    </row>
    <row r="107" spans="1:2">
      <c r="A107" s="105" t="s">
        <v>167</v>
      </c>
      <c r="B107" s="100">
        <v>527</v>
      </c>
    </row>
    <row r="108" spans="1:2">
      <c r="A108" s="105" t="s">
        <v>168</v>
      </c>
      <c r="B108" s="100">
        <v>584</v>
      </c>
    </row>
    <row r="109" spans="1:2">
      <c r="A109" s="105" t="s">
        <v>169</v>
      </c>
      <c r="B109" s="100">
        <v>58</v>
      </c>
    </row>
    <row r="110" spans="1:2">
      <c r="A110" s="105" t="s">
        <v>170</v>
      </c>
      <c r="B110" s="100">
        <v>536</v>
      </c>
    </row>
    <row r="111" spans="1:2">
      <c r="A111" s="105" t="s">
        <v>171</v>
      </c>
      <c r="B111" s="100">
        <v>622</v>
      </c>
    </row>
    <row r="112" spans="1:2">
      <c r="A112" s="105" t="s">
        <v>172</v>
      </c>
      <c r="B112" s="100">
        <v>501</v>
      </c>
    </row>
    <row r="113" spans="1:2">
      <c r="A113" s="105" t="s">
        <v>173</v>
      </c>
      <c r="B113" s="100">
        <v>293</v>
      </c>
    </row>
    <row r="114" spans="1:2">
      <c r="A114" s="105" t="s">
        <v>174</v>
      </c>
      <c r="B114" s="100">
        <v>252</v>
      </c>
    </row>
    <row r="115" spans="1:2">
      <c r="A115" s="105" t="s">
        <v>175</v>
      </c>
      <c r="B115" s="100">
        <v>256</v>
      </c>
    </row>
    <row r="116" spans="1:2">
      <c r="A116" s="105" t="s">
        <v>176</v>
      </c>
      <c r="B116" s="100">
        <v>20</v>
      </c>
    </row>
    <row r="117" spans="1:2">
      <c r="A117" s="105" t="s">
        <v>177</v>
      </c>
      <c r="B117" s="100">
        <v>209</v>
      </c>
    </row>
    <row r="118" spans="1:2">
      <c r="A118" s="105" t="s">
        <v>178</v>
      </c>
      <c r="B118" s="100">
        <v>417</v>
      </c>
    </row>
    <row r="119" spans="1:2">
      <c r="A119" s="105" t="s">
        <v>179</v>
      </c>
      <c r="B119" s="100">
        <v>374</v>
      </c>
    </row>
    <row r="120" spans="1:2">
      <c r="A120" s="105" t="s">
        <v>180</v>
      </c>
      <c r="B120" s="100">
        <v>389</v>
      </c>
    </row>
    <row r="121" spans="1:2">
      <c r="A121" s="105" t="s">
        <v>181</v>
      </c>
      <c r="B121" s="100">
        <v>262</v>
      </c>
    </row>
    <row r="122" spans="1:2">
      <c r="A122" s="105" t="s">
        <v>182</v>
      </c>
      <c r="B122" s="100">
        <v>399</v>
      </c>
    </row>
    <row r="123" spans="1:2">
      <c r="A123" s="105" t="s">
        <v>183</v>
      </c>
      <c r="B123" s="100">
        <v>539</v>
      </c>
    </row>
    <row r="124" spans="1:2">
      <c r="A124" s="105" t="s">
        <v>184</v>
      </c>
      <c r="B124" s="100">
        <v>534</v>
      </c>
    </row>
    <row r="125" spans="1:2">
      <c r="A125" s="105" t="s">
        <v>185</v>
      </c>
      <c r="B125" s="100">
        <v>230</v>
      </c>
    </row>
    <row r="126" spans="1:2">
      <c r="A126" s="105" t="s">
        <v>186</v>
      </c>
      <c r="B126" s="100">
        <v>438</v>
      </c>
    </row>
    <row r="127" spans="1:2">
      <c r="A127" s="105" t="s">
        <v>187</v>
      </c>
      <c r="B127" s="100">
        <v>515</v>
      </c>
    </row>
    <row r="128" spans="1:2">
      <c r="A128" s="105" t="s">
        <v>188</v>
      </c>
      <c r="B128" s="100">
        <v>118</v>
      </c>
    </row>
    <row r="129" spans="1:2">
      <c r="A129" s="105" t="s">
        <v>189</v>
      </c>
      <c r="B129" s="100">
        <v>555</v>
      </c>
    </row>
    <row r="130" spans="1:2">
      <c r="A130" s="105" t="s">
        <v>190</v>
      </c>
      <c r="B130" s="100">
        <v>79</v>
      </c>
    </row>
    <row r="131" spans="1:2">
      <c r="A131" s="105" t="s">
        <v>191</v>
      </c>
      <c r="B131" s="100">
        <v>68</v>
      </c>
    </row>
    <row r="132" spans="1:2">
      <c r="A132" s="105" t="s">
        <v>192</v>
      </c>
      <c r="B132" s="100">
        <v>513</v>
      </c>
    </row>
    <row r="133" spans="1:2">
      <c r="A133" s="105" t="s">
        <v>193</v>
      </c>
      <c r="B133" s="100">
        <v>46</v>
      </c>
    </row>
    <row r="134" spans="1:2">
      <c r="A134" s="105" t="s">
        <v>194</v>
      </c>
      <c r="B134" s="100">
        <v>465</v>
      </c>
    </row>
    <row r="135" spans="1:2">
      <c r="A135" s="105" t="s">
        <v>195</v>
      </c>
      <c r="B135" s="100">
        <v>235</v>
      </c>
    </row>
    <row r="136" spans="1:2">
      <c r="A136" s="105" t="s">
        <v>196</v>
      </c>
      <c r="B136" s="100">
        <v>384</v>
      </c>
    </row>
    <row r="137" spans="1:2">
      <c r="A137" s="105" t="s">
        <v>197</v>
      </c>
      <c r="B137" s="100">
        <v>164</v>
      </c>
    </row>
    <row r="138" spans="1:2">
      <c r="A138" s="105" t="s">
        <v>198</v>
      </c>
      <c r="B138" s="100">
        <v>216</v>
      </c>
    </row>
    <row r="139" spans="1:2">
      <c r="A139" s="105" t="s">
        <v>199</v>
      </c>
      <c r="B139" s="100">
        <v>426</v>
      </c>
    </row>
    <row r="140" spans="1:2">
      <c r="A140" s="105" t="s">
        <v>200</v>
      </c>
      <c r="B140" s="100">
        <v>502</v>
      </c>
    </row>
    <row r="141" spans="1:2">
      <c r="A141" s="105" t="s">
        <v>201</v>
      </c>
      <c r="B141" s="100">
        <v>149</v>
      </c>
    </row>
    <row r="142" spans="1:2">
      <c r="A142" s="105" t="s">
        <v>202</v>
      </c>
      <c r="B142" s="100">
        <v>425</v>
      </c>
    </row>
    <row r="143" spans="1:2">
      <c r="A143" s="105" t="s">
        <v>203</v>
      </c>
      <c r="B143" s="100">
        <v>462</v>
      </c>
    </row>
    <row r="144" spans="1:2">
      <c r="A144" s="105" t="s">
        <v>204</v>
      </c>
      <c r="B144" s="100">
        <v>196</v>
      </c>
    </row>
    <row r="145" spans="1:2">
      <c r="A145" s="105" t="s">
        <v>205</v>
      </c>
      <c r="B145" s="100">
        <v>88</v>
      </c>
    </row>
    <row r="146" spans="1:2">
      <c r="A146" s="105" t="s">
        <v>206</v>
      </c>
      <c r="B146" s="100">
        <v>188</v>
      </c>
    </row>
    <row r="147" spans="1:2">
      <c r="A147" s="105" t="s">
        <v>207</v>
      </c>
      <c r="B147" s="100">
        <v>590</v>
      </c>
    </row>
    <row r="148" spans="1:2">
      <c r="A148" s="105" t="s">
        <v>208</v>
      </c>
      <c r="B148" s="100">
        <v>355</v>
      </c>
    </row>
    <row r="149" spans="1:2">
      <c r="A149" s="105" t="s">
        <v>209</v>
      </c>
      <c r="B149" s="100">
        <v>218</v>
      </c>
    </row>
    <row r="150" spans="1:2">
      <c r="A150" s="105" t="s">
        <v>210</v>
      </c>
      <c r="B150" s="100">
        <v>619</v>
      </c>
    </row>
    <row r="151" spans="1:2">
      <c r="A151" s="105" t="s">
        <v>211</v>
      </c>
      <c r="B151" s="100">
        <v>28</v>
      </c>
    </row>
    <row r="152" spans="1:2">
      <c r="A152" s="105" t="s">
        <v>212</v>
      </c>
      <c r="B152" s="100">
        <v>538</v>
      </c>
    </row>
    <row r="153" spans="1:2">
      <c r="A153" s="105" t="s">
        <v>213</v>
      </c>
      <c r="B153" s="100">
        <v>407</v>
      </c>
    </row>
    <row r="154" spans="1:2">
      <c r="A154" s="105" t="s">
        <v>214</v>
      </c>
      <c r="B154" s="100">
        <v>553</v>
      </c>
    </row>
    <row r="155" spans="1:2">
      <c r="A155" s="105" t="s">
        <v>215</v>
      </c>
      <c r="B155" s="100">
        <v>561</v>
      </c>
    </row>
    <row r="156" spans="1:2">
      <c r="A156" s="105" t="s">
        <v>216</v>
      </c>
      <c r="B156" s="100">
        <v>139</v>
      </c>
    </row>
    <row r="157" spans="1:2">
      <c r="A157" s="105" t="s">
        <v>217</v>
      </c>
      <c r="B157" s="100">
        <v>128</v>
      </c>
    </row>
    <row r="158" spans="1:2">
      <c r="A158" s="105" t="s">
        <v>218</v>
      </c>
      <c r="B158" s="100">
        <v>436</v>
      </c>
    </row>
    <row r="159" spans="1:2">
      <c r="A159" s="105" t="s">
        <v>219</v>
      </c>
      <c r="B159" s="100">
        <v>179</v>
      </c>
    </row>
    <row r="160" spans="1:2">
      <c r="A160" s="105" t="s">
        <v>220</v>
      </c>
      <c r="B160" s="100">
        <v>433</v>
      </c>
    </row>
    <row r="161" spans="1:2">
      <c r="A161" s="105" t="s">
        <v>221</v>
      </c>
      <c r="B161" s="100">
        <v>331</v>
      </c>
    </row>
    <row r="162" spans="1:2">
      <c r="A162" s="105" t="s">
        <v>222</v>
      </c>
      <c r="B162" s="100">
        <v>322</v>
      </c>
    </row>
    <row r="163" spans="1:2">
      <c r="A163" s="105" t="s">
        <v>223</v>
      </c>
      <c r="B163" s="100">
        <v>77</v>
      </c>
    </row>
    <row r="164" spans="1:2">
      <c r="A164" s="105" t="s">
        <v>224</v>
      </c>
      <c r="B164" s="100">
        <v>263</v>
      </c>
    </row>
    <row r="165" spans="1:2">
      <c r="A165" s="105" t="s">
        <v>225</v>
      </c>
      <c r="B165" s="100">
        <v>86</v>
      </c>
    </row>
    <row r="166" spans="1:2">
      <c r="A166" s="105" t="s">
        <v>226</v>
      </c>
      <c r="B166" s="100">
        <v>526</v>
      </c>
    </row>
    <row r="167" spans="1:2">
      <c r="A167" s="105" t="s">
        <v>227</v>
      </c>
      <c r="B167" s="100">
        <v>587</v>
      </c>
    </row>
    <row r="168" spans="1:2">
      <c r="A168" s="105" t="s">
        <v>228</v>
      </c>
      <c r="B168" s="100">
        <v>9</v>
      </c>
    </row>
    <row r="169" spans="1:2">
      <c r="A169" s="105" t="s">
        <v>229</v>
      </c>
      <c r="B169" s="100">
        <v>124</v>
      </c>
    </row>
    <row r="170" spans="1:2">
      <c r="A170" s="105" t="s">
        <v>230</v>
      </c>
      <c r="B170" s="100">
        <v>572</v>
      </c>
    </row>
    <row r="171" spans="1:2">
      <c r="A171" s="105" t="s">
        <v>231</v>
      </c>
      <c r="B171" s="100">
        <v>80</v>
      </c>
    </row>
    <row r="172" spans="1:2">
      <c r="A172" s="105" t="s">
        <v>232</v>
      </c>
      <c r="B172" s="100">
        <v>170</v>
      </c>
    </row>
    <row r="173" spans="1:2">
      <c r="A173" s="105" t="s">
        <v>233</v>
      </c>
      <c r="B173" s="100">
        <v>599</v>
      </c>
    </row>
    <row r="174" spans="1:2">
      <c r="A174" s="105" t="s">
        <v>234</v>
      </c>
      <c r="B174" s="100">
        <v>85</v>
      </c>
    </row>
    <row r="175" spans="1:2">
      <c r="A175" s="105" t="s">
        <v>235</v>
      </c>
      <c r="B175" s="100">
        <v>556</v>
      </c>
    </row>
    <row r="176" spans="1:2">
      <c r="A176" s="105" t="s">
        <v>236</v>
      </c>
      <c r="B176" s="100">
        <v>463</v>
      </c>
    </row>
    <row r="177" spans="1:2">
      <c r="A177" s="105" t="s">
        <v>237</v>
      </c>
      <c r="B177" s="100">
        <v>588</v>
      </c>
    </row>
    <row r="178" spans="1:2">
      <c r="A178" s="105" t="s">
        <v>238</v>
      </c>
      <c r="B178" s="100">
        <v>316</v>
      </c>
    </row>
    <row r="179" spans="1:2">
      <c r="A179" s="105" t="s">
        <v>239</v>
      </c>
      <c r="B179" s="100">
        <v>483</v>
      </c>
    </row>
    <row r="180" spans="1:2">
      <c r="A180" s="105" t="s">
        <v>240</v>
      </c>
      <c r="B180" s="100">
        <v>336</v>
      </c>
    </row>
    <row r="181" spans="1:2">
      <c r="A181" s="105" t="s">
        <v>241</v>
      </c>
      <c r="B181" s="100">
        <v>402</v>
      </c>
    </row>
    <row r="182" spans="1:2">
      <c r="A182" s="105" t="s">
        <v>242</v>
      </c>
      <c r="B182" s="100">
        <v>523</v>
      </c>
    </row>
    <row r="183" spans="1:2">
      <c r="A183" s="105" t="s">
        <v>243</v>
      </c>
      <c r="B183" s="100">
        <v>589</v>
      </c>
    </row>
    <row r="184" spans="1:2">
      <c r="A184" s="105" t="s">
        <v>244</v>
      </c>
      <c r="B184" s="100">
        <v>24</v>
      </c>
    </row>
    <row r="185" spans="1:2">
      <c r="A185" s="105" t="s">
        <v>245</v>
      </c>
      <c r="B185" s="100">
        <v>380</v>
      </c>
    </row>
    <row r="186" spans="1:2">
      <c r="A186" s="105" t="s">
        <v>246</v>
      </c>
      <c r="B186" s="100">
        <v>573</v>
      </c>
    </row>
    <row r="187" spans="1:2">
      <c r="A187" s="105" t="s">
        <v>247</v>
      </c>
      <c r="B187" s="100">
        <v>533</v>
      </c>
    </row>
    <row r="188" spans="1:2">
      <c r="A188" s="105" t="s">
        <v>248</v>
      </c>
      <c r="B188" s="100">
        <v>120</v>
      </c>
    </row>
    <row r="189" spans="1:2">
      <c r="A189" s="105" t="s">
        <v>249</v>
      </c>
      <c r="B189" s="100">
        <v>574</v>
      </c>
    </row>
    <row r="190" spans="1:2">
      <c r="A190" s="105" t="s">
        <v>250</v>
      </c>
      <c r="B190" s="100">
        <v>312</v>
      </c>
    </row>
    <row r="191" spans="1:2">
      <c r="A191" s="105" t="s">
        <v>251</v>
      </c>
      <c r="B191" s="100">
        <v>510</v>
      </c>
    </row>
    <row r="192" spans="1:2">
      <c r="A192" s="105" t="s">
        <v>252</v>
      </c>
      <c r="B192" s="100">
        <v>408</v>
      </c>
    </row>
    <row r="193" spans="1:2">
      <c r="A193" s="105" t="s">
        <v>253</v>
      </c>
      <c r="B193" s="100">
        <v>155</v>
      </c>
    </row>
    <row r="194" spans="1:2">
      <c r="A194" s="105" t="s">
        <v>254</v>
      </c>
      <c r="B194" s="100">
        <v>390</v>
      </c>
    </row>
    <row r="195" spans="1:2">
      <c r="A195" s="105" t="s">
        <v>255</v>
      </c>
      <c r="B195" s="100">
        <v>251</v>
      </c>
    </row>
    <row r="196" spans="1:2">
      <c r="A196" s="105" t="s">
        <v>256</v>
      </c>
      <c r="B196" s="100">
        <v>401</v>
      </c>
    </row>
    <row r="197" spans="1:2">
      <c r="A197" s="105" t="s">
        <v>257</v>
      </c>
      <c r="B197" s="100">
        <v>5</v>
      </c>
    </row>
    <row r="198" spans="1:2">
      <c r="A198" s="105" t="s">
        <v>258</v>
      </c>
      <c r="B198" s="100">
        <v>53</v>
      </c>
    </row>
    <row r="199" spans="1:2">
      <c r="A199" s="105" t="s">
        <v>259</v>
      </c>
      <c r="B199" s="100">
        <v>121</v>
      </c>
    </row>
    <row r="200" spans="1:2">
      <c r="A200" s="105" t="s">
        <v>260</v>
      </c>
      <c r="B200" s="100">
        <v>431</v>
      </c>
    </row>
    <row r="201" spans="1:2">
      <c r="A201" s="105" t="s">
        <v>261</v>
      </c>
      <c r="B201" s="100">
        <v>199</v>
      </c>
    </row>
    <row r="202" spans="1:2">
      <c r="A202" s="105" t="s">
        <v>262</v>
      </c>
      <c r="B202" s="100">
        <v>89</v>
      </c>
    </row>
    <row r="203" spans="1:2">
      <c r="A203" s="105" t="s">
        <v>263</v>
      </c>
      <c r="B203" s="100">
        <v>292</v>
      </c>
    </row>
    <row r="204" spans="1:2">
      <c r="A204" s="105" t="s">
        <v>264</v>
      </c>
      <c r="B204" s="100">
        <v>508</v>
      </c>
    </row>
    <row r="205" spans="1:2">
      <c r="A205" s="105" t="s">
        <v>265</v>
      </c>
      <c r="B205" s="100">
        <v>275</v>
      </c>
    </row>
    <row r="206" spans="1:2">
      <c r="A206" s="105" t="s">
        <v>266</v>
      </c>
      <c r="B206" s="100">
        <v>520</v>
      </c>
    </row>
    <row r="207" spans="1:2">
      <c r="A207" s="105" t="s">
        <v>267</v>
      </c>
      <c r="B207" s="100">
        <v>378</v>
      </c>
    </row>
    <row r="208" spans="1:2">
      <c r="A208" s="105" t="s">
        <v>268</v>
      </c>
      <c r="B208" s="100">
        <v>624</v>
      </c>
    </row>
    <row r="209" spans="1:2">
      <c r="A209" s="105" t="s">
        <v>269</v>
      </c>
      <c r="B209" s="100">
        <v>73</v>
      </c>
    </row>
    <row r="210" spans="1:2">
      <c r="A210" s="105" t="s">
        <v>270</v>
      </c>
      <c r="B210" s="100">
        <v>569</v>
      </c>
    </row>
    <row r="211" spans="1:2">
      <c r="A211" s="105" t="s">
        <v>271</v>
      </c>
      <c r="B211" s="100">
        <v>634</v>
      </c>
    </row>
    <row r="212" spans="1:2">
      <c r="A212" s="105" t="s">
        <v>272</v>
      </c>
      <c r="B212" s="100">
        <v>27</v>
      </c>
    </row>
    <row r="213" spans="1:2">
      <c r="A213" s="105" t="s">
        <v>273</v>
      </c>
      <c r="B213" s="100">
        <v>642</v>
      </c>
    </row>
    <row r="214" spans="1:2">
      <c r="A214" s="105" t="s">
        <v>274</v>
      </c>
      <c r="B214" s="100">
        <v>201</v>
      </c>
    </row>
    <row r="215" spans="1:2">
      <c r="A215" s="105" t="s">
        <v>275</v>
      </c>
      <c r="B215" s="100">
        <v>266</v>
      </c>
    </row>
    <row r="216" spans="1:2">
      <c r="A216" s="105" t="s">
        <v>276</v>
      </c>
      <c r="B216" s="100">
        <v>512</v>
      </c>
    </row>
    <row r="217" spans="1:2">
      <c r="A217" s="105" t="s">
        <v>277</v>
      </c>
      <c r="B217" s="100">
        <v>154</v>
      </c>
    </row>
    <row r="218" spans="1:2">
      <c r="A218" s="105" t="s">
        <v>326</v>
      </c>
      <c r="B218" s="100">
        <v>394</v>
      </c>
    </row>
    <row r="219" spans="1:2">
      <c r="A219" s="105" t="s">
        <v>327</v>
      </c>
      <c r="B219" s="100">
        <v>566</v>
      </c>
    </row>
    <row r="220" spans="1:2">
      <c r="A220" s="105" t="s">
        <v>328</v>
      </c>
      <c r="B220" s="100">
        <v>497</v>
      </c>
    </row>
    <row r="221" spans="1:2">
      <c r="A221" s="105" t="s">
        <v>329</v>
      </c>
      <c r="B221" s="100">
        <v>419</v>
      </c>
    </row>
    <row r="222" spans="1:2">
      <c r="A222" s="105" t="s">
        <v>330</v>
      </c>
      <c r="B222" s="100">
        <v>530</v>
      </c>
    </row>
    <row r="223" spans="1:2">
      <c r="A223" s="105" t="s">
        <v>331</v>
      </c>
      <c r="B223" s="100">
        <v>224</v>
      </c>
    </row>
    <row r="224" spans="1:2">
      <c r="A224" s="105" t="s">
        <v>332</v>
      </c>
      <c r="B224" s="100">
        <v>177</v>
      </c>
    </row>
    <row r="225" spans="1:2">
      <c r="A225" s="105" t="s">
        <v>333</v>
      </c>
      <c r="B225" s="100">
        <v>153</v>
      </c>
    </row>
    <row r="226" spans="1:2">
      <c r="A226" s="105" t="s">
        <v>334</v>
      </c>
      <c r="B226" s="100">
        <v>637</v>
      </c>
    </row>
    <row r="227" spans="1:2">
      <c r="A227" s="105" t="s">
        <v>335</v>
      </c>
      <c r="B227" s="100">
        <v>56</v>
      </c>
    </row>
    <row r="228" spans="1:2">
      <c r="A228" s="105" t="s">
        <v>336</v>
      </c>
      <c r="B228" s="100">
        <v>477</v>
      </c>
    </row>
    <row r="229" spans="1:2">
      <c r="A229" s="105" t="s">
        <v>337</v>
      </c>
      <c r="B229" s="100">
        <v>398</v>
      </c>
    </row>
    <row r="230" spans="1:2">
      <c r="A230" s="105" t="s">
        <v>338</v>
      </c>
      <c r="B230" s="100">
        <v>416</v>
      </c>
    </row>
    <row r="231" spans="1:2">
      <c r="A231" s="105" t="s">
        <v>339</v>
      </c>
      <c r="B231" s="100">
        <v>558</v>
      </c>
    </row>
    <row r="232" spans="1:2">
      <c r="A232" s="105" t="s">
        <v>340</v>
      </c>
      <c r="B232" s="100">
        <v>329</v>
      </c>
    </row>
    <row r="233" spans="1:2">
      <c r="A233" s="105" t="s">
        <v>341</v>
      </c>
      <c r="B233" s="100">
        <v>300</v>
      </c>
    </row>
    <row r="234" spans="1:2">
      <c r="A234" s="105" t="s">
        <v>342</v>
      </c>
      <c r="B234" s="100">
        <v>145</v>
      </c>
    </row>
    <row r="235" spans="1:2">
      <c r="A235" s="105" t="s">
        <v>343</v>
      </c>
      <c r="B235" s="100">
        <v>452</v>
      </c>
    </row>
    <row r="236" spans="1:2">
      <c r="A236" s="105" t="s">
        <v>344</v>
      </c>
      <c r="B236" s="100">
        <v>577</v>
      </c>
    </row>
    <row r="237" spans="1:2">
      <c r="A237" s="105" t="s">
        <v>345</v>
      </c>
      <c r="B237" s="100">
        <v>511</v>
      </c>
    </row>
    <row r="238" spans="1:2">
      <c r="A238" s="105" t="s">
        <v>346</v>
      </c>
      <c r="B238" s="100">
        <v>543</v>
      </c>
    </row>
    <row r="239" spans="1:2">
      <c r="A239" s="105" t="s">
        <v>347</v>
      </c>
      <c r="B239" s="100">
        <v>372</v>
      </c>
    </row>
    <row r="240" spans="1:2">
      <c r="A240" s="105" t="s">
        <v>348</v>
      </c>
      <c r="B240" s="100">
        <v>183</v>
      </c>
    </row>
    <row r="241" spans="1:2">
      <c r="A241" s="105" t="s">
        <v>349</v>
      </c>
      <c r="B241" s="100">
        <v>392</v>
      </c>
    </row>
    <row r="242" spans="1:2">
      <c r="A242" s="105" t="s">
        <v>350</v>
      </c>
      <c r="B242" s="100">
        <v>460</v>
      </c>
    </row>
    <row r="243" spans="1:2">
      <c r="A243" s="105" t="s">
        <v>351</v>
      </c>
      <c r="B243" s="100">
        <v>112</v>
      </c>
    </row>
    <row r="244" spans="1:2">
      <c r="A244" s="105" t="s">
        <v>352</v>
      </c>
      <c r="B244" s="100">
        <v>103</v>
      </c>
    </row>
    <row r="245" spans="1:2">
      <c r="A245" s="105" t="s">
        <v>353</v>
      </c>
      <c r="B245" s="100">
        <v>633</v>
      </c>
    </row>
    <row r="246" spans="1:2">
      <c r="A246" s="105" t="s">
        <v>354</v>
      </c>
      <c r="B246" s="100">
        <v>541</v>
      </c>
    </row>
    <row r="247" spans="1:2">
      <c r="A247" s="105" t="s">
        <v>355</v>
      </c>
      <c r="B247" s="100">
        <v>265</v>
      </c>
    </row>
    <row r="248" spans="1:2">
      <c r="A248" s="105" t="s">
        <v>356</v>
      </c>
      <c r="B248" s="100">
        <v>17</v>
      </c>
    </row>
    <row r="249" spans="1:2">
      <c r="A249" s="105" t="s">
        <v>357</v>
      </c>
      <c r="B249" s="100">
        <v>406</v>
      </c>
    </row>
    <row r="250" spans="1:2">
      <c r="A250" s="105" t="s">
        <v>358</v>
      </c>
      <c r="B250" s="100">
        <v>476</v>
      </c>
    </row>
    <row r="251" spans="1:2">
      <c r="A251" s="105" t="s">
        <v>359</v>
      </c>
      <c r="B251" s="100">
        <v>632</v>
      </c>
    </row>
    <row r="252" spans="1:2">
      <c r="A252" s="105" t="s">
        <v>360</v>
      </c>
      <c r="B252" s="100">
        <v>192</v>
      </c>
    </row>
    <row r="253" spans="1:2">
      <c r="A253" s="105" t="s">
        <v>361</v>
      </c>
      <c r="B253" s="100">
        <v>247</v>
      </c>
    </row>
    <row r="254" spans="1:2">
      <c r="A254" s="105" t="s">
        <v>362</v>
      </c>
      <c r="B254" s="100">
        <v>638</v>
      </c>
    </row>
    <row r="255" spans="1:2">
      <c r="A255" s="105" t="s">
        <v>363</v>
      </c>
      <c r="B255" s="100">
        <v>341</v>
      </c>
    </row>
    <row r="256" spans="1:2">
      <c r="A256" s="105" t="s">
        <v>364</v>
      </c>
      <c r="B256" s="100">
        <v>109</v>
      </c>
    </row>
    <row r="257" spans="1:2">
      <c r="A257" s="105" t="s">
        <v>365</v>
      </c>
      <c r="B257" s="100">
        <v>440</v>
      </c>
    </row>
    <row r="258" spans="1:2">
      <c r="A258" s="105" t="s">
        <v>366</v>
      </c>
      <c r="B258" s="100">
        <v>544</v>
      </c>
    </row>
    <row r="259" spans="1:2">
      <c r="A259" s="105" t="s">
        <v>367</v>
      </c>
      <c r="B259" s="100">
        <v>75</v>
      </c>
    </row>
    <row r="260" spans="1:2">
      <c r="A260" s="105" t="s">
        <v>368</v>
      </c>
      <c r="B260" s="100">
        <v>227</v>
      </c>
    </row>
    <row r="261" spans="1:2">
      <c r="A261" s="105" t="s">
        <v>369</v>
      </c>
      <c r="B261" s="100">
        <v>210</v>
      </c>
    </row>
    <row r="262" spans="1:2">
      <c r="A262" s="105" t="s">
        <v>370</v>
      </c>
      <c r="B262" s="100">
        <v>277</v>
      </c>
    </row>
    <row r="263" spans="1:2">
      <c r="A263" s="105" t="s">
        <v>371</v>
      </c>
      <c r="B263" s="100">
        <v>93</v>
      </c>
    </row>
    <row r="264" spans="1:2">
      <c r="A264" s="105" t="s">
        <v>372</v>
      </c>
      <c r="B264" s="100">
        <v>626</v>
      </c>
    </row>
    <row r="265" spans="1:2">
      <c r="A265" s="105" t="s">
        <v>373</v>
      </c>
      <c r="B265" s="100">
        <v>157</v>
      </c>
    </row>
    <row r="266" spans="1:2">
      <c r="A266" s="105" t="s">
        <v>374</v>
      </c>
      <c r="B266" s="100">
        <v>104</v>
      </c>
    </row>
    <row r="267" spans="1:2">
      <c r="A267" s="105" t="s">
        <v>375</v>
      </c>
      <c r="B267" s="100">
        <v>187</v>
      </c>
    </row>
    <row r="268" spans="1:2">
      <c r="A268" s="105" t="s">
        <v>376</v>
      </c>
      <c r="B268" s="100">
        <v>217</v>
      </c>
    </row>
    <row r="269" spans="1:2">
      <c r="A269" s="105" t="s">
        <v>377</v>
      </c>
      <c r="B269" s="100">
        <v>295</v>
      </c>
    </row>
    <row r="270" spans="1:2">
      <c r="A270" s="105" t="s">
        <v>378</v>
      </c>
      <c r="B270" s="100">
        <v>641</v>
      </c>
    </row>
    <row r="271" spans="1:2">
      <c r="A271" s="105" t="s">
        <v>379</v>
      </c>
      <c r="B271" s="100">
        <v>345</v>
      </c>
    </row>
    <row r="272" spans="1:2">
      <c r="A272" s="105" t="s">
        <v>380</v>
      </c>
      <c r="B272" s="100">
        <v>478</v>
      </c>
    </row>
    <row r="273" spans="1:2">
      <c r="A273" s="105" t="s">
        <v>381</v>
      </c>
      <c r="B273" s="100">
        <v>84</v>
      </c>
    </row>
    <row r="274" spans="1:2">
      <c r="A274" s="105" t="s">
        <v>382</v>
      </c>
      <c r="B274" s="100">
        <v>377</v>
      </c>
    </row>
    <row r="275" spans="1:2">
      <c r="A275" s="105" t="s">
        <v>383</v>
      </c>
      <c r="B275" s="100">
        <v>473</v>
      </c>
    </row>
    <row r="276" spans="1:2">
      <c r="A276" s="105" t="s">
        <v>384</v>
      </c>
      <c r="B276" s="100">
        <v>105</v>
      </c>
    </row>
    <row r="277" spans="1:2">
      <c r="A277" s="105" t="s">
        <v>385</v>
      </c>
      <c r="B277" s="100">
        <v>567</v>
      </c>
    </row>
    <row r="278" spans="1:2">
      <c r="A278" s="105" t="s">
        <v>386</v>
      </c>
      <c r="B278" s="100">
        <v>437</v>
      </c>
    </row>
    <row r="279" spans="1:2">
      <c r="A279" s="105" t="s">
        <v>387</v>
      </c>
      <c r="B279" s="100">
        <v>203</v>
      </c>
    </row>
    <row r="280" spans="1:2">
      <c r="A280" s="105" t="s">
        <v>388</v>
      </c>
      <c r="B280" s="100">
        <v>67</v>
      </c>
    </row>
    <row r="281" spans="1:2">
      <c r="A281" s="105" t="s">
        <v>389</v>
      </c>
      <c r="B281" s="100">
        <v>110</v>
      </c>
    </row>
    <row r="282" spans="1:2">
      <c r="A282" s="105" t="s">
        <v>390</v>
      </c>
      <c r="B282" s="100">
        <v>100</v>
      </c>
    </row>
    <row r="283" spans="1:2">
      <c r="A283" s="105" t="s">
        <v>391</v>
      </c>
      <c r="B283" s="100">
        <v>643</v>
      </c>
    </row>
    <row r="284" spans="1:2">
      <c r="A284" s="105" t="s">
        <v>392</v>
      </c>
      <c r="B284" s="100">
        <v>542</v>
      </c>
    </row>
    <row r="285" spans="1:2">
      <c r="A285" s="105" t="s">
        <v>393</v>
      </c>
      <c r="B285" s="100">
        <v>302</v>
      </c>
    </row>
    <row r="286" spans="1:2">
      <c r="A286" s="105" t="s">
        <v>394</v>
      </c>
      <c r="B286" s="100">
        <v>59</v>
      </c>
    </row>
    <row r="287" spans="1:2">
      <c r="A287" s="105" t="s">
        <v>395</v>
      </c>
      <c r="B287" s="100">
        <v>330</v>
      </c>
    </row>
    <row r="288" spans="1:2">
      <c r="A288" s="105" t="s">
        <v>396</v>
      </c>
      <c r="B288" s="100">
        <v>614</v>
      </c>
    </row>
    <row r="289" spans="1:2">
      <c r="A289" s="105" t="s">
        <v>397</v>
      </c>
      <c r="B289" s="100">
        <v>388</v>
      </c>
    </row>
    <row r="290" spans="1:2">
      <c r="A290" s="105" t="s">
        <v>398</v>
      </c>
      <c r="B290" s="100">
        <v>160</v>
      </c>
    </row>
    <row r="291" spans="1:2">
      <c r="A291" s="105" t="s">
        <v>399</v>
      </c>
      <c r="B291" s="100">
        <v>453</v>
      </c>
    </row>
    <row r="292" spans="1:2">
      <c r="A292" s="105" t="s">
        <v>400</v>
      </c>
      <c r="B292" s="100">
        <v>644</v>
      </c>
    </row>
    <row r="293" spans="1:2">
      <c r="A293" s="105" t="s">
        <v>401</v>
      </c>
      <c r="B293" s="100">
        <v>16</v>
      </c>
    </row>
    <row r="294" spans="1:2">
      <c r="A294" s="105" t="s">
        <v>402</v>
      </c>
      <c r="B294" s="100">
        <v>602</v>
      </c>
    </row>
    <row r="295" spans="1:2">
      <c r="A295" s="105" t="s">
        <v>403</v>
      </c>
      <c r="B295" s="100">
        <v>12</v>
      </c>
    </row>
    <row r="296" spans="1:2">
      <c r="A296" s="105" t="s">
        <v>404</v>
      </c>
      <c r="B296" s="100">
        <v>604</v>
      </c>
    </row>
    <row r="297" spans="1:2">
      <c r="A297" s="105" t="s">
        <v>405</v>
      </c>
      <c r="B297" s="100">
        <v>347</v>
      </c>
    </row>
    <row r="298" spans="1:2">
      <c r="A298" s="105" t="s">
        <v>406</v>
      </c>
      <c r="B298" s="100">
        <v>117</v>
      </c>
    </row>
    <row r="299" spans="1:2">
      <c r="A299" s="105" t="s">
        <v>407</v>
      </c>
      <c r="B299" s="100">
        <v>532</v>
      </c>
    </row>
    <row r="300" spans="1:2">
      <c r="A300" s="105" t="s">
        <v>408</v>
      </c>
      <c r="B300" s="100">
        <v>481</v>
      </c>
    </row>
    <row r="301" spans="1:2">
      <c r="A301" s="105" t="s">
        <v>409</v>
      </c>
      <c r="B301" s="100">
        <v>116</v>
      </c>
    </row>
    <row r="302" spans="1:2">
      <c r="A302" s="105" t="s">
        <v>410</v>
      </c>
      <c r="B302" s="100">
        <v>379</v>
      </c>
    </row>
    <row r="303" spans="1:2">
      <c r="A303" s="105" t="s">
        <v>411</v>
      </c>
      <c r="B303" s="100">
        <v>522</v>
      </c>
    </row>
    <row r="304" spans="1:2">
      <c r="A304" s="105" t="s">
        <v>412</v>
      </c>
      <c r="B304" s="100">
        <v>301</v>
      </c>
    </row>
    <row r="305" spans="1:2">
      <c r="A305" s="105" t="s">
        <v>413</v>
      </c>
      <c r="B305" s="100">
        <v>451</v>
      </c>
    </row>
    <row r="306" spans="1:2">
      <c r="A306" s="105" t="s">
        <v>414</v>
      </c>
      <c r="B306" s="100">
        <v>576</v>
      </c>
    </row>
    <row r="307" spans="1:2">
      <c r="A307" s="105" t="s">
        <v>415</v>
      </c>
      <c r="B307" s="100">
        <v>113</v>
      </c>
    </row>
    <row r="308" spans="1:2">
      <c r="A308" s="105" t="s">
        <v>416</v>
      </c>
      <c r="B308" s="100">
        <v>314</v>
      </c>
    </row>
    <row r="309" spans="1:2">
      <c r="A309" s="105" t="s">
        <v>417</v>
      </c>
      <c r="B309" s="100">
        <v>264</v>
      </c>
    </row>
    <row r="310" spans="1:2">
      <c r="A310" s="105" t="s">
        <v>418</v>
      </c>
      <c r="B310" s="100">
        <v>152</v>
      </c>
    </row>
    <row r="311" spans="1:2">
      <c r="A311" s="105" t="s">
        <v>419</v>
      </c>
      <c r="B311" s="100">
        <v>592</v>
      </c>
    </row>
    <row r="312" spans="1:2">
      <c r="A312" s="105" t="s">
        <v>420</v>
      </c>
      <c r="B312" s="100">
        <v>609</v>
      </c>
    </row>
    <row r="313" spans="1:2">
      <c r="A313" s="105" t="s">
        <v>421</v>
      </c>
      <c r="B313" s="100">
        <v>449</v>
      </c>
    </row>
    <row r="314" spans="1:2">
      <c r="A314" s="105" t="s">
        <v>422</v>
      </c>
      <c r="B314" s="100">
        <v>72</v>
      </c>
    </row>
    <row r="315" spans="1:2">
      <c r="A315" s="105" t="s">
        <v>423</v>
      </c>
      <c r="B315" s="100">
        <v>488</v>
      </c>
    </row>
    <row r="316" spans="1:2">
      <c r="A316" s="105" t="s">
        <v>424</v>
      </c>
      <c r="B316" s="100">
        <v>180</v>
      </c>
    </row>
    <row r="317" spans="1:2">
      <c r="A317" s="105" t="s">
        <v>425</v>
      </c>
      <c r="B317" s="100">
        <v>321</v>
      </c>
    </row>
    <row r="318" spans="1:2">
      <c r="A318" s="105" t="s">
        <v>426</v>
      </c>
      <c r="B318" s="100">
        <v>194</v>
      </c>
    </row>
    <row r="319" spans="1:2">
      <c r="A319" s="105" t="s">
        <v>427</v>
      </c>
      <c r="B319" s="100">
        <v>456</v>
      </c>
    </row>
    <row r="320" spans="1:2">
      <c r="A320" s="105" t="s">
        <v>428</v>
      </c>
      <c r="B320" s="100">
        <v>99</v>
      </c>
    </row>
    <row r="321" spans="1:2">
      <c r="A321" s="105" t="s">
        <v>429</v>
      </c>
      <c r="B321" s="100">
        <v>487</v>
      </c>
    </row>
    <row r="322" spans="1:2">
      <c r="A322" s="105" t="s">
        <v>430</v>
      </c>
      <c r="B322" s="100">
        <v>562</v>
      </c>
    </row>
    <row r="323" spans="1:2">
      <c r="A323" s="105" t="s">
        <v>431</v>
      </c>
      <c r="B323" s="100">
        <v>137</v>
      </c>
    </row>
    <row r="324" spans="1:2">
      <c r="A324" s="105" t="s">
        <v>432</v>
      </c>
      <c r="B324" s="100">
        <v>228</v>
      </c>
    </row>
    <row r="325" spans="1:2">
      <c r="A325" s="105" t="s">
        <v>433</v>
      </c>
      <c r="B325" s="100">
        <v>243</v>
      </c>
    </row>
    <row r="326" spans="1:2">
      <c r="A326" s="105" t="s">
        <v>434</v>
      </c>
      <c r="B326" s="100">
        <v>340</v>
      </c>
    </row>
    <row r="327" spans="1:2">
      <c r="A327" s="105" t="s">
        <v>435</v>
      </c>
      <c r="B327" s="100">
        <v>198</v>
      </c>
    </row>
    <row r="328" spans="1:2">
      <c r="A328" s="105" t="s">
        <v>436</v>
      </c>
      <c r="B328" s="100">
        <v>579</v>
      </c>
    </row>
    <row r="329" spans="1:2">
      <c r="A329" s="105" t="s">
        <v>437</v>
      </c>
      <c r="B329" s="100">
        <v>225</v>
      </c>
    </row>
    <row r="330" spans="1:2">
      <c r="A330" s="105" t="s">
        <v>438</v>
      </c>
      <c r="B330" s="100">
        <v>206</v>
      </c>
    </row>
    <row r="331" spans="1:2">
      <c r="A331" s="105" t="s">
        <v>439</v>
      </c>
      <c r="B331" s="100">
        <v>34</v>
      </c>
    </row>
    <row r="332" spans="1:2">
      <c r="A332" s="105" t="s">
        <v>440</v>
      </c>
      <c r="B332" s="100">
        <v>565</v>
      </c>
    </row>
    <row r="333" spans="1:2">
      <c r="A333" s="105" t="s">
        <v>441</v>
      </c>
      <c r="B333" s="100">
        <v>123</v>
      </c>
    </row>
    <row r="334" spans="1:2">
      <c r="A334" s="105" t="s">
        <v>442</v>
      </c>
      <c r="B334" s="100">
        <v>268</v>
      </c>
    </row>
    <row r="335" spans="1:2">
      <c r="A335" s="105" t="s">
        <v>443</v>
      </c>
      <c r="B335" s="100">
        <v>259</v>
      </c>
    </row>
    <row r="336" spans="1:2">
      <c r="A336" s="105" t="s">
        <v>444</v>
      </c>
      <c r="B336" s="100">
        <v>363</v>
      </c>
    </row>
    <row r="337" spans="1:2">
      <c r="A337" s="105" t="s">
        <v>445</v>
      </c>
      <c r="B337" s="100">
        <v>486</v>
      </c>
    </row>
    <row r="338" spans="1:2">
      <c r="A338" s="105" t="s">
        <v>494</v>
      </c>
      <c r="B338" s="100">
        <v>317</v>
      </c>
    </row>
    <row r="339" spans="1:2">
      <c r="A339" s="105" t="s">
        <v>495</v>
      </c>
      <c r="B339" s="100">
        <v>518</v>
      </c>
    </row>
    <row r="340" spans="1:2">
      <c r="A340" s="105" t="s">
        <v>496</v>
      </c>
      <c r="B340" s="100">
        <v>498</v>
      </c>
    </row>
    <row r="341" spans="1:2">
      <c r="A341" s="105" t="s">
        <v>497</v>
      </c>
      <c r="B341" s="100">
        <v>221</v>
      </c>
    </row>
    <row r="342" spans="1:2">
      <c r="A342" s="105" t="s">
        <v>498</v>
      </c>
      <c r="B342" s="100">
        <v>234</v>
      </c>
    </row>
    <row r="343" spans="1:2">
      <c r="A343" s="105" t="s">
        <v>499</v>
      </c>
      <c r="B343" s="100">
        <v>631</v>
      </c>
    </row>
    <row r="344" spans="1:2">
      <c r="A344" s="105" t="s">
        <v>500</v>
      </c>
      <c r="B344" s="100">
        <v>537</v>
      </c>
    </row>
    <row r="345" spans="1:2">
      <c r="A345" s="105" t="s">
        <v>501</v>
      </c>
      <c r="B345" s="100">
        <v>549</v>
      </c>
    </row>
    <row r="346" spans="1:2">
      <c r="A346" s="105" t="s">
        <v>502</v>
      </c>
      <c r="B346" s="100">
        <v>443</v>
      </c>
    </row>
    <row r="347" spans="1:2">
      <c r="A347" s="105" t="s">
        <v>503</v>
      </c>
      <c r="B347" s="100">
        <v>471</v>
      </c>
    </row>
    <row r="348" spans="1:2">
      <c r="A348" s="105" t="s">
        <v>504</v>
      </c>
      <c r="B348" s="100">
        <v>61</v>
      </c>
    </row>
    <row r="349" spans="1:2">
      <c r="A349" s="105" t="s">
        <v>505</v>
      </c>
      <c r="B349" s="100">
        <v>615</v>
      </c>
    </row>
    <row r="350" spans="1:2">
      <c r="A350" s="105" t="s">
        <v>506</v>
      </c>
      <c r="B350" s="100">
        <v>11</v>
      </c>
    </row>
    <row r="351" spans="1:2">
      <c r="A351" s="105" t="s">
        <v>507</v>
      </c>
      <c r="B351" s="100">
        <v>207</v>
      </c>
    </row>
    <row r="352" spans="1:2">
      <c r="A352" s="105" t="s">
        <v>508</v>
      </c>
      <c r="B352" s="100">
        <v>442</v>
      </c>
    </row>
    <row r="353" spans="1:2">
      <c r="A353" s="105" t="s">
        <v>509</v>
      </c>
      <c r="B353" s="100">
        <v>525</v>
      </c>
    </row>
    <row r="354" spans="1:2">
      <c r="A354" s="105" t="s">
        <v>510</v>
      </c>
      <c r="B354" s="100">
        <v>646</v>
      </c>
    </row>
    <row r="355" spans="1:2">
      <c r="A355" s="105" t="s">
        <v>511</v>
      </c>
      <c r="B355" s="100">
        <v>640</v>
      </c>
    </row>
    <row r="356" spans="1:2">
      <c r="A356" s="105" t="s">
        <v>512</v>
      </c>
      <c r="B356" s="100">
        <v>557</v>
      </c>
    </row>
    <row r="357" spans="1:2">
      <c r="A357" s="105" t="s">
        <v>513</v>
      </c>
      <c r="B357" s="100">
        <v>459</v>
      </c>
    </row>
    <row r="358" spans="1:2">
      <c r="A358" s="105" t="s">
        <v>514</v>
      </c>
      <c r="B358" s="100">
        <v>420</v>
      </c>
    </row>
    <row r="359" spans="1:2">
      <c r="A359" s="105" t="s">
        <v>515</v>
      </c>
      <c r="B359" s="100">
        <v>173</v>
      </c>
    </row>
    <row r="360" spans="1:2">
      <c r="A360" s="105" t="s">
        <v>516</v>
      </c>
      <c r="B360" s="100">
        <v>448</v>
      </c>
    </row>
    <row r="361" spans="1:2">
      <c r="A361" s="105" t="s">
        <v>517</v>
      </c>
      <c r="B361" s="100">
        <v>114</v>
      </c>
    </row>
    <row r="362" spans="1:2">
      <c r="A362" s="105" t="s">
        <v>518</v>
      </c>
      <c r="B362" s="100">
        <v>167</v>
      </c>
    </row>
    <row r="363" spans="1:2">
      <c r="A363" s="105" t="s">
        <v>519</v>
      </c>
      <c r="B363" s="100">
        <v>352</v>
      </c>
    </row>
    <row r="364" spans="1:2">
      <c r="A364" s="105" t="s">
        <v>520</v>
      </c>
      <c r="B364" s="100">
        <v>148</v>
      </c>
    </row>
    <row r="365" spans="1:2">
      <c r="A365" s="105" t="s">
        <v>521</v>
      </c>
      <c r="B365" s="100">
        <v>13</v>
      </c>
    </row>
    <row r="366" spans="1:2">
      <c r="A366" s="105" t="s">
        <v>522</v>
      </c>
      <c r="B366" s="100">
        <v>597</v>
      </c>
    </row>
    <row r="367" spans="1:2">
      <c r="A367" s="105" t="s">
        <v>523</v>
      </c>
      <c r="B367" s="100">
        <v>441</v>
      </c>
    </row>
    <row r="368" spans="1:2">
      <c r="A368" s="105" t="s">
        <v>524</v>
      </c>
      <c r="B368" s="100">
        <v>37</v>
      </c>
    </row>
    <row r="369" spans="1:2">
      <c r="A369" s="105" t="s">
        <v>525</v>
      </c>
      <c r="B369" s="100">
        <v>365</v>
      </c>
    </row>
    <row r="370" spans="1:2">
      <c r="A370" s="105" t="s">
        <v>526</v>
      </c>
      <c r="B370" s="100">
        <v>358</v>
      </c>
    </row>
    <row r="371" spans="1:2">
      <c r="A371" s="105" t="s">
        <v>527</v>
      </c>
      <c r="B371" s="100">
        <v>484</v>
      </c>
    </row>
    <row r="372" spans="1:2">
      <c r="A372" s="105" t="s">
        <v>528</v>
      </c>
      <c r="B372" s="100">
        <v>367</v>
      </c>
    </row>
    <row r="373" spans="1:2">
      <c r="A373" s="105" t="s">
        <v>529</v>
      </c>
      <c r="B373" s="100">
        <v>127</v>
      </c>
    </row>
    <row r="374" spans="1:2">
      <c r="A374" s="105" t="s">
        <v>530</v>
      </c>
      <c r="B374" s="100">
        <v>368</v>
      </c>
    </row>
    <row r="375" spans="1:2">
      <c r="A375" s="105" t="s">
        <v>531</v>
      </c>
      <c r="B375" s="100">
        <v>387</v>
      </c>
    </row>
    <row r="376" spans="1:2">
      <c r="A376" s="105" t="s">
        <v>532</v>
      </c>
      <c r="B376" s="100">
        <v>629</v>
      </c>
    </row>
    <row r="377" spans="1:2">
      <c r="A377" s="105" t="s">
        <v>533</v>
      </c>
      <c r="B377" s="100">
        <v>645</v>
      </c>
    </row>
    <row r="378" spans="1:2">
      <c r="A378" s="105" t="s">
        <v>534</v>
      </c>
      <c r="B378" s="100">
        <v>33</v>
      </c>
    </row>
    <row r="379" spans="1:2">
      <c r="A379" s="105" t="s">
        <v>535</v>
      </c>
      <c r="B379" s="100">
        <v>554</v>
      </c>
    </row>
    <row r="380" spans="1:2">
      <c r="A380" s="105" t="s">
        <v>536</v>
      </c>
      <c r="B380" s="100">
        <v>430</v>
      </c>
    </row>
    <row r="381" spans="1:2">
      <c r="A381" s="105" t="s">
        <v>537</v>
      </c>
      <c r="B381" s="100">
        <v>332</v>
      </c>
    </row>
    <row r="382" spans="1:2">
      <c r="A382" s="105" t="s">
        <v>538</v>
      </c>
      <c r="B382" s="100">
        <v>435</v>
      </c>
    </row>
    <row r="383" spans="1:2">
      <c r="A383" s="105" t="s">
        <v>539</v>
      </c>
      <c r="B383" s="100">
        <v>605</v>
      </c>
    </row>
    <row r="384" spans="1:2">
      <c r="A384" s="105" t="s">
        <v>540</v>
      </c>
      <c r="B384" s="100">
        <v>47</v>
      </c>
    </row>
    <row r="385" spans="1:2">
      <c r="A385" s="105" t="s">
        <v>541</v>
      </c>
      <c r="B385" s="100">
        <v>303</v>
      </c>
    </row>
    <row r="386" spans="1:2">
      <c r="A386" s="105" t="s">
        <v>542</v>
      </c>
      <c r="B386" s="100">
        <v>496</v>
      </c>
    </row>
    <row r="387" spans="1:2">
      <c r="A387" s="105" t="s">
        <v>543</v>
      </c>
      <c r="B387" s="100">
        <v>383</v>
      </c>
    </row>
    <row r="388" spans="1:2">
      <c r="A388" s="105" t="s">
        <v>544</v>
      </c>
      <c r="B388" s="100">
        <v>381</v>
      </c>
    </row>
    <row r="389" spans="1:2">
      <c r="A389" s="105" t="s">
        <v>545</v>
      </c>
      <c r="B389" s="100">
        <v>351</v>
      </c>
    </row>
    <row r="390" spans="1:2">
      <c r="A390" s="105" t="s">
        <v>546</v>
      </c>
      <c r="B390" s="100">
        <v>165</v>
      </c>
    </row>
    <row r="391" spans="1:2">
      <c r="A391" s="105" t="s">
        <v>547</v>
      </c>
      <c r="B391" s="100">
        <v>272</v>
      </c>
    </row>
    <row r="392" spans="1:2">
      <c r="A392" s="105" t="s">
        <v>548</v>
      </c>
      <c r="B392" s="100">
        <v>445</v>
      </c>
    </row>
    <row r="393" spans="1:2">
      <c r="A393" s="105" t="s">
        <v>549</v>
      </c>
      <c r="B393" s="100">
        <v>338</v>
      </c>
    </row>
    <row r="394" spans="1:2">
      <c r="A394" s="105" t="s">
        <v>550</v>
      </c>
      <c r="B394" s="100">
        <v>140</v>
      </c>
    </row>
    <row r="395" spans="1:2">
      <c r="A395" s="105" t="s">
        <v>551</v>
      </c>
      <c r="B395" s="100">
        <v>623</v>
      </c>
    </row>
    <row r="396" spans="1:2">
      <c r="A396" s="105" t="s">
        <v>552</v>
      </c>
      <c r="B396" s="100">
        <v>269</v>
      </c>
    </row>
    <row r="397" spans="1:2">
      <c r="A397" s="105" t="s">
        <v>553</v>
      </c>
      <c r="B397" s="100">
        <v>546</v>
      </c>
    </row>
    <row r="398" spans="1:2">
      <c r="A398" s="105" t="s">
        <v>554</v>
      </c>
      <c r="B398" s="100">
        <v>318</v>
      </c>
    </row>
    <row r="399" spans="1:2">
      <c r="A399" s="105" t="s">
        <v>555</v>
      </c>
      <c r="B399" s="100">
        <v>397</v>
      </c>
    </row>
    <row r="400" spans="1:2">
      <c r="A400" s="105" t="s">
        <v>556</v>
      </c>
      <c r="B400" s="100">
        <v>241</v>
      </c>
    </row>
    <row r="401" spans="1:2">
      <c r="A401" s="105" t="s">
        <v>557</v>
      </c>
      <c r="B401" s="100">
        <v>636</v>
      </c>
    </row>
    <row r="402" spans="1:2">
      <c r="A402" s="105" t="s">
        <v>558</v>
      </c>
      <c r="B402" s="100">
        <v>156</v>
      </c>
    </row>
    <row r="403" spans="1:2">
      <c r="A403" s="105" t="s">
        <v>559</v>
      </c>
      <c r="B403" s="100">
        <v>327</v>
      </c>
    </row>
    <row r="404" spans="1:2">
      <c r="A404" s="105" t="s">
        <v>560</v>
      </c>
      <c r="B404" s="100">
        <v>39</v>
      </c>
    </row>
    <row r="405" spans="1:2">
      <c r="A405" s="105" t="s">
        <v>561</v>
      </c>
      <c r="B405" s="100">
        <v>485</v>
      </c>
    </row>
    <row r="406" spans="1:2">
      <c r="A406" s="105" t="s">
        <v>562</v>
      </c>
      <c r="B406" s="100">
        <v>134</v>
      </c>
    </row>
    <row r="407" spans="1:2">
      <c r="A407" s="105" t="s">
        <v>563</v>
      </c>
      <c r="B407" s="100">
        <v>82</v>
      </c>
    </row>
    <row r="408" spans="1:2">
      <c r="A408" s="105" t="s">
        <v>564</v>
      </c>
      <c r="B408" s="100">
        <v>57</v>
      </c>
    </row>
    <row r="409" spans="1:2">
      <c r="A409" s="105" t="s">
        <v>565</v>
      </c>
      <c r="B409" s="100">
        <v>283</v>
      </c>
    </row>
    <row r="410" spans="1:2">
      <c r="A410" s="105" t="s">
        <v>566</v>
      </c>
      <c r="B410" s="100">
        <v>308</v>
      </c>
    </row>
    <row r="411" spans="1:2">
      <c r="A411" s="105" t="s">
        <v>567</v>
      </c>
      <c r="B411" s="100">
        <v>495</v>
      </c>
    </row>
    <row r="412" spans="1:2">
      <c r="A412" s="105" t="s">
        <v>568</v>
      </c>
      <c r="B412" s="100">
        <v>547</v>
      </c>
    </row>
    <row r="413" spans="1:2">
      <c r="A413" s="105" t="s">
        <v>569</v>
      </c>
      <c r="B413" s="100">
        <v>447</v>
      </c>
    </row>
    <row r="414" spans="1:2">
      <c r="A414" s="105" t="s">
        <v>570</v>
      </c>
      <c r="B414" s="100">
        <v>413</v>
      </c>
    </row>
    <row r="415" spans="1:2">
      <c r="A415" s="105" t="s">
        <v>571</v>
      </c>
      <c r="B415" s="100">
        <v>168</v>
      </c>
    </row>
    <row r="416" spans="1:2">
      <c r="A416" s="105" t="s">
        <v>572</v>
      </c>
      <c r="B416" s="100">
        <v>339</v>
      </c>
    </row>
    <row r="417" spans="1:2">
      <c r="A417" s="105" t="s">
        <v>573</v>
      </c>
      <c r="B417" s="100">
        <v>450</v>
      </c>
    </row>
    <row r="418" spans="1:2">
      <c r="A418" s="105" t="s">
        <v>574</v>
      </c>
      <c r="B418" s="100">
        <v>242</v>
      </c>
    </row>
    <row r="419" spans="1:2">
      <c r="A419" s="105" t="s">
        <v>575</v>
      </c>
      <c r="B419" s="100">
        <v>531</v>
      </c>
    </row>
    <row r="420" spans="1:2">
      <c r="A420" s="105" t="s">
        <v>576</v>
      </c>
      <c r="B420" s="100">
        <v>494</v>
      </c>
    </row>
    <row r="421" spans="1:2">
      <c r="A421" s="105" t="s">
        <v>577</v>
      </c>
      <c r="B421" s="100">
        <v>131</v>
      </c>
    </row>
    <row r="422" spans="1:2">
      <c r="A422" s="105" t="s">
        <v>578</v>
      </c>
      <c r="B422" s="100">
        <v>360</v>
      </c>
    </row>
    <row r="423" spans="1:2">
      <c r="A423" s="105" t="s">
        <v>579</v>
      </c>
      <c r="B423" s="100">
        <v>212</v>
      </c>
    </row>
    <row r="424" spans="1:2">
      <c r="A424" s="105" t="s">
        <v>580</v>
      </c>
      <c r="B424" s="100">
        <v>222</v>
      </c>
    </row>
    <row r="425" spans="1:2">
      <c r="A425" s="105" t="s">
        <v>581</v>
      </c>
      <c r="B425" s="100">
        <v>466</v>
      </c>
    </row>
    <row r="426" spans="1:2">
      <c r="A426" s="105" t="s">
        <v>582</v>
      </c>
      <c r="B426" s="100">
        <v>560</v>
      </c>
    </row>
    <row r="427" spans="1:2">
      <c r="A427" s="105" t="s">
        <v>583</v>
      </c>
      <c r="B427" s="100">
        <v>618</v>
      </c>
    </row>
    <row r="428" spans="1:2">
      <c r="A428" s="105" t="s">
        <v>584</v>
      </c>
      <c r="B428" s="100">
        <v>364</v>
      </c>
    </row>
    <row r="429" spans="1:2">
      <c r="A429" s="105" t="s">
        <v>585</v>
      </c>
      <c r="B429" s="100">
        <v>540</v>
      </c>
    </row>
    <row r="430" spans="1:2">
      <c r="A430" s="105" t="s">
        <v>586</v>
      </c>
      <c r="B430" s="100">
        <v>382</v>
      </c>
    </row>
    <row r="431" spans="1:2">
      <c r="A431" s="105" t="s">
        <v>587</v>
      </c>
      <c r="B431" s="100">
        <v>514</v>
      </c>
    </row>
    <row r="432" spans="1:2">
      <c r="A432" s="105" t="s">
        <v>588</v>
      </c>
      <c r="B432" s="100">
        <v>31</v>
      </c>
    </row>
    <row r="433" spans="1:2">
      <c r="A433" s="105" t="s">
        <v>589</v>
      </c>
      <c r="B433" s="100">
        <v>371</v>
      </c>
    </row>
    <row r="434" spans="1:2">
      <c r="A434" s="105" t="s">
        <v>590</v>
      </c>
      <c r="B434" s="100">
        <v>278</v>
      </c>
    </row>
    <row r="435" spans="1:2">
      <c r="A435" s="105" t="s">
        <v>591</v>
      </c>
      <c r="B435" s="100">
        <v>311</v>
      </c>
    </row>
    <row r="436" spans="1:2">
      <c r="A436" s="105" t="s">
        <v>592</v>
      </c>
      <c r="B436" s="100">
        <v>517</v>
      </c>
    </row>
    <row r="437" spans="1:2">
      <c r="A437" s="105" t="s">
        <v>593</v>
      </c>
      <c r="B437" s="100">
        <v>429</v>
      </c>
    </row>
    <row r="438" spans="1:2">
      <c r="A438" s="105" t="s">
        <v>594</v>
      </c>
      <c r="B438" s="100">
        <v>276</v>
      </c>
    </row>
    <row r="439" spans="1:2">
      <c r="A439" s="105" t="s">
        <v>595</v>
      </c>
      <c r="B439" s="100">
        <v>291</v>
      </c>
    </row>
    <row r="440" spans="1:2">
      <c r="A440" s="105" t="s">
        <v>596</v>
      </c>
      <c r="B440" s="100">
        <v>233</v>
      </c>
    </row>
    <row r="441" spans="1:2">
      <c r="A441" s="105" t="s">
        <v>597</v>
      </c>
      <c r="B441" s="100">
        <v>585</v>
      </c>
    </row>
    <row r="442" spans="1:2">
      <c r="A442" s="105" t="s">
        <v>598</v>
      </c>
      <c r="B442" s="100">
        <v>414</v>
      </c>
    </row>
    <row r="443" spans="1:2">
      <c r="A443" s="105" t="s">
        <v>599</v>
      </c>
      <c r="B443" s="100">
        <v>49</v>
      </c>
    </row>
    <row r="444" spans="1:2">
      <c r="A444" s="105" t="s">
        <v>600</v>
      </c>
      <c r="B444" s="100">
        <v>18</v>
      </c>
    </row>
    <row r="445" spans="1:2">
      <c r="A445" s="105" t="s">
        <v>601</v>
      </c>
      <c r="B445" s="100">
        <v>357</v>
      </c>
    </row>
    <row r="446" spans="1:2">
      <c r="A446" s="105" t="s">
        <v>602</v>
      </c>
      <c r="B446" s="100">
        <v>325</v>
      </c>
    </row>
    <row r="447" spans="1:2">
      <c r="A447" s="105" t="s">
        <v>603</v>
      </c>
      <c r="B447" s="100">
        <v>270</v>
      </c>
    </row>
    <row r="448" spans="1:2">
      <c r="A448" s="105" t="s">
        <v>604</v>
      </c>
      <c r="B448" s="100">
        <v>552</v>
      </c>
    </row>
    <row r="449" spans="1:2">
      <c r="A449" s="105" t="s">
        <v>605</v>
      </c>
      <c r="B449" s="100">
        <v>223</v>
      </c>
    </row>
    <row r="450" spans="1:2">
      <c r="A450" s="105" t="s">
        <v>606</v>
      </c>
      <c r="B450" s="100">
        <v>40</v>
      </c>
    </row>
    <row r="451" spans="1:2">
      <c r="A451" s="105" t="s">
        <v>607</v>
      </c>
      <c r="B451" s="100">
        <v>337</v>
      </c>
    </row>
    <row r="452" spans="1:2">
      <c r="A452" s="105" t="s">
        <v>608</v>
      </c>
      <c r="B452" s="100">
        <v>446</v>
      </c>
    </row>
    <row r="453" spans="1:2">
      <c r="A453" s="105" t="s">
        <v>609</v>
      </c>
      <c r="B453" s="100">
        <v>8</v>
      </c>
    </row>
    <row r="454" spans="1:2">
      <c r="A454" s="105" t="s">
        <v>610</v>
      </c>
      <c r="B454" s="100">
        <v>350</v>
      </c>
    </row>
    <row r="455" spans="1:2">
      <c r="A455" s="105" t="s">
        <v>611</v>
      </c>
      <c r="B455" s="100">
        <v>455</v>
      </c>
    </row>
    <row r="456" spans="1:2">
      <c r="A456" s="105" t="s">
        <v>612</v>
      </c>
      <c r="B456" s="100">
        <v>479</v>
      </c>
    </row>
    <row r="457" spans="1:2">
      <c r="A457" s="105" t="s">
        <v>613</v>
      </c>
      <c r="B457" s="100">
        <v>428</v>
      </c>
    </row>
    <row r="458" spans="1:2">
      <c r="A458" s="105" t="s">
        <v>662</v>
      </c>
      <c r="B458" s="100">
        <v>464</v>
      </c>
    </row>
    <row r="459" spans="1:2">
      <c r="A459" s="105" t="s">
        <v>663</v>
      </c>
      <c r="B459" s="100">
        <v>391</v>
      </c>
    </row>
    <row r="460" spans="1:2">
      <c r="A460" s="105" t="s">
        <v>664</v>
      </c>
      <c r="B460" s="100">
        <v>14</v>
      </c>
    </row>
    <row r="461" spans="1:2">
      <c r="A461" s="105" t="s">
        <v>665</v>
      </c>
      <c r="B461" s="100">
        <v>600</v>
      </c>
    </row>
    <row r="462" spans="1:2">
      <c r="A462" s="105" t="s">
        <v>666</v>
      </c>
      <c r="B462" s="100">
        <v>52</v>
      </c>
    </row>
    <row r="463" spans="1:2">
      <c r="A463" s="105" t="s">
        <v>667</v>
      </c>
      <c r="B463" s="100">
        <v>559</v>
      </c>
    </row>
    <row r="464" spans="1:2">
      <c r="A464" s="105" t="s">
        <v>668</v>
      </c>
      <c r="B464" s="100">
        <v>607</v>
      </c>
    </row>
    <row r="465" spans="1:2">
      <c r="A465" s="105" t="s">
        <v>669</v>
      </c>
      <c r="B465" s="100">
        <v>424</v>
      </c>
    </row>
    <row r="466" spans="1:2">
      <c r="A466" s="105" t="s">
        <v>670</v>
      </c>
      <c r="B466" s="100">
        <v>625</v>
      </c>
    </row>
    <row r="467" spans="1:2">
      <c r="A467" s="105" t="s">
        <v>671</v>
      </c>
      <c r="B467" s="100">
        <v>38</v>
      </c>
    </row>
    <row r="468" spans="1:2">
      <c r="A468" s="105" t="s">
        <v>672</v>
      </c>
      <c r="B468" s="100">
        <v>310</v>
      </c>
    </row>
    <row r="469" spans="1:2">
      <c r="A469" s="105" t="s">
        <v>673</v>
      </c>
      <c r="B469" s="100">
        <v>335</v>
      </c>
    </row>
    <row r="470" spans="1:2">
      <c r="A470" s="105" t="s">
        <v>674</v>
      </c>
      <c r="B470" s="100">
        <v>313</v>
      </c>
    </row>
    <row r="471" spans="1:2">
      <c r="A471" s="105" t="s">
        <v>675</v>
      </c>
      <c r="B471" s="100">
        <v>78</v>
      </c>
    </row>
    <row r="472" spans="1:2">
      <c r="A472" s="105" t="s">
        <v>676</v>
      </c>
      <c r="B472" s="100">
        <v>151</v>
      </c>
    </row>
    <row r="473" spans="1:2">
      <c r="A473" s="105" t="s">
        <v>677</v>
      </c>
      <c r="B473" s="100">
        <v>461</v>
      </c>
    </row>
    <row r="474" spans="1:2">
      <c r="A474" s="105" t="s">
        <v>678</v>
      </c>
      <c r="B474" s="100">
        <v>255</v>
      </c>
    </row>
    <row r="475" spans="1:2">
      <c r="A475" s="105" t="s">
        <v>679</v>
      </c>
      <c r="B475" s="100">
        <v>411</v>
      </c>
    </row>
    <row r="476" spans="1:2">
      <c r="A476" s="105" t="s">
        <v>680</v>
      </c>
      <c r="B476" s="100">
        <v>202</v>
      </c>
    </row>
    <row r="477" spans="1:2">
      <c r="A477" s="105" t="s">
        <v>681</v>
      </c>
      <c r="B477" s="100">
        <v>571</v>
      </c>
    </row>
    <row r="478" spans="1:2">
      <c r="A478" s="105" t="s">
        <v>682</v>
      </c>
      <c r="B478" s="100">
        <v>386</v>
      </c>
    </row>
    <row r="479" spans="1:2">
      <c r="A479" s="105" t="s">
        <v>683</v>
      </c>
      <c r="B479" s="100">
        <v>353</v>
      </c>
    </row>
    <row r="480" spans="1:2">
      <c r="A480" s="105" t="s">
        <v>684</v>
      </c>
      <c r="B480" s="100">
        <v>650</v>
      </c>
    </row>
    <row r="481" spans="1:2">
      <c r="A481" s="105" t="s">
        <v>685</v>
      </c>
      <c r="B481" s="100">
        <v>144</v>
      </c>
    </row>
    <row r="482" spans="1:2">
      <c r="A482" s="105" t="s">
        <v>686</v>
      </c>
      <c r="B482" s="100">
        <v>267</v>
      </c>
    </row>
    <row r="483" spans="1:2">
      <c r="A483" s="105" t="s">
        <v>687</v>
      </c>
      <c r="B483" s="100">
        <v>480</v>
      </c>
    </row>
    <row r="484" spans="1:2">
      <c r="A484" s="105" t="s">
        <v>688</v>
      </c>
      <c r="B484" s="100">
        <v>141</v>
      </c>
    </row>
    <row r="485" spans="1:2">
      <c r="A485" s="105" t="s">
        <v>689</v>
      </c>
      <c r="B485" s="100">
        <v>616</v>
      </c>
    </row>
    <row r="486" spans="1:2">
      <c r="A486" s="105" t="s">
        <v>690</v>
      </c>
      <c r="B486" s="100">
        <v>432</v>
      </c>
    </row>
    <row r="487" spans="1:2">
      <c r="A487" s="105" t="s">
        <v>691</v>
      </c>
      <c r="B487" s="100">
        <v>370</v>
      </c>
    </row>
    <row r="488" spans="1:2">
      <c r="A488" s="105" t="s">
        <v>692</v>
      </c>
      <c r="B488" s="100">
        <v>305</v>
      </c>
    </row>
    <row r="489" spans="1:2">
      <c r="A489" s="105" t="s">
        <v>693</v>
      </c>
      <c r="B489" s="100">
        <v>133</v>
      </c>
    </row>
    <row r="490" spans="1:2">
      <c r="A490" s="105" t="s">
        <v>694</v>
      </c>
      <c r="B490" s="100">
        <v>253</v>
      </c>
    </row>
    <row r="491" spans="1:2">
      <c r="A491" s="105" t="s">
        <v>695</v>
      </c>
      <c r="B491" s="100">
        <v>81</v>
      </c>
    </row>
    <row r="492" spans="1:2">
      <c r="A492" s="105" t="s">
        <v>696</v>
      </c>
      <c r="B492" s="100">
        <v>586</v>
      </c>
    </row>
    <row r="493" spans="1:2">
      <c r="A493" s="105" t="s">
        <v>697</v>
      </c>
      <c r="B493" s="100">
        <v>213</v>
      </c>
    </row>
    <row r="494" spans="1:2">
      <c r="A494" s="105" t="s">
        <v>698</v>
      </c>
      <c r="B494" s="100">
        <v>323</v>
      </c>
    </row>
    <row r="495" spans="1:2">
      <c r="A495" s="105" t="s">
        <v>699</v>
      </c>
      <c r="B495" s="100">
        <v>328</v>
      </c>
    </row>
    <row r="496" spans="1:2">
      <c r="A496" s="105" t="s">
        <v>700</v>
      </c>
      <c r="B496" s="100">
        <v>107</v>
      </c>
    </row>
    <row r="497" spans="1:2">
      <c r="A497" s="105" t="s">
        <v>701</v>
      </c>
      <c r="B497" s="100">
        <v>294</v>
      </c>
    </row>
    <row r="498" spans="1:2">
      <c r="A498" s="105" t="s">
        <v>702</v>
      </c>
      <c r="B498" s="100">
        <v>83</v>
      </c>
    </row>
    <row r="499" spans="1:2">
      <c r="A499" s="105" t="s">
        <v>703</v>
      </c>
      <c r="B499" s="100">
        <v>132</v>
      </c>
    </row>
    <row r="500" spans="1:2">
      <c r="A500" s="105" t="s">
        <v>704</v>
      </c>
      <c r="B500" s="100">
        <v>490</v>
      </c>
    </row>
    <row r="501" spans="1:2">
      <c r="A501" s="105" t="s">
        <v>705</v>
      </c>
      <c r="B501" s="100">
        <v>324</v>
      </c>
    </row>
    <row r="502" spans="1:2">
      <c r="A502" s="105" t="s">
        <v>706</v>
      </c>
      <c r="B502" s="100">
        <v>509</v>
      </c>
    </row>
    <row r="503" spans="1:2">
      <c r="A503" s="105" t="s">
        <v>707</v>
      </c>
      <c r="B503" s="100">
        <v>70</v>
      </c>
    </row>
    <row r="504" spans="1:2">
      <c r="A504" s="105" t="s">
        <v>708</v>
      </c>
      <c r="B504" s="100">
        <v>10</v>
      </c>
    </row>
    <row r="505" spans="1:2">
      <c r="A505" s="105" t="s">
        <v>709</v>
      </c>
      <c r="B505" s="100">
        <v>548</v>
      </c>
    </row>
    <row r="506" spans="1:2">
      <c r="A506" s="105" t="s">
        <v>710</v>
      </c>
      <c r="B506" s="100">
        <v>306</v>
      </c>
    </row>
    <row r="507" spans="1:2">
      <c r="A507" s="105" t="s">
        <v>711</v>
      </c>
      <c r="B507" s="100">
        <v>119</v>
      </c>
    </row>
    <row r="508" spans="1:2">
      <c r="A508" s="105" t="s">
        <v>712</v>
      </c>
      <c r="B508" s="100">
        <v>43</v>
      </c>
    </row>
    <row r="509" spans="1:2">
      <c r="A509" s="105" t="s">
        <v>713</v>
      </c>
      <c r="B509" s="100">
        <v>464</v>
      </c>
    </row>
    <row r="510" spans="1:2">
      <c r="A510" s="105" t="s">
        <v>714</v>
      </c>
      <c r="B510" s="100">
        <v>391</v>
      </c>
    </row>
    <row r="511" spans="1:2">
      <c r="A511" s="105" t="s">
        <v>715</v>
      </c>
      <c r="B511" s="100">
        <v>14</v>
      </c>
    </row>
    <row r="512" spans="1:2">
      <c r="A512" s="105" t="s">
        <v>716</v>
      </c>
      <c r="B512" s="100">
        <v>600</v>
      </c>
    </row>
    <row r="513" spans="1:2">
      <c r="A513" s="105" t="s">
        <v>717</v>
      </c>
      <c r="B513" s="100">
        <v>52</v>
      </c>
    </row>
    <row r="514" spans="1:2">
      <c r="A514" s="105" t="s">
        <v>718</v>
      </c>
      <c r="B514" s="100">
        <v>559</v>
      </c>
    </row>
    <row r="515" spans="1:2">
      <c r="A515" s="105" t="s">
        <v>719</v>
      </c>
      <c r="B515" s="100">
        <v>607</v>
      </c>
    </row>
    <row r="516" spans="1:2">
      <c r="A516" s="105" t="s">
        <v>720</v>
      </c>
      <c r="B516" s="100">
        <v>424</v>
      </c>
    </row>
    <row r="517" spans="1:2">
      <c r="A517" s="105" t="s">
        <v>721</v>
      </c>
      <c r="B517" s="100">
        <v>625</v>
      </c>
    </row>
    <row r="518" spans="1:2">
      <c r="A518" s="105" t="s">
        <v>722</v>
      </c>
      <c r="B518" s="100">
        <v>38</v>
      </c>
    </row>
    <row r="519" spans="1:2">
      <c r="A519" s="105" t="s">
        <v>723</v>
      </c>
      <c r="B519" s="100">
        <v>310</v>
      </c>
    </row>
    <row r="520" spans="1:2">
      <c r="A520" s="105" t="s">
        <v>724</v>
      </c>
      <c r="B520" s="100">
        <v>335</v>
      </c>
    </row>
    <row r="521" spans="1:2">
      <c r="A521" s="105" t="s">
        <v>725</v>
      </c>
      <c r="B521" s="100">
        <v>313</v>
      </c>
    </row>
    <row r="522" spans="1:2">
      <c r="A522" s="105" t="s">
        <v>726</v>
      </c>
      <c r="B522" s="100">
        <v>78</v>
      </c>
    </row>
    <row r="523" spans="1:2">
      <c r="A523" s="105" t="s">
        <v>727</v>
      </c>
      <c r="B523" s="100">
        <v>151</v>
      </c>
    </row>
    <row r="524" spans="1:2">
      <c r="A524" s="105" t="s">
        <v>728</v>
      </c>
      <c r="B524" s="100">
        <v>461</v>
      </c>
    </row>
    <row r="525" spans="1:2">
      <c r="A525" s="105" t="s">
        <v>729</v>
      </c>
      <c r="B525" s="100">
        <v>523</v>
      </c>
    </row>
    <row r="526" spans="1:2">
      <c r="A526" s="105" t="s">
        <v>730</v>
      </c>
      <c r="B526" s="100">
        <v>789</v>
      </c>
    </row>
    <row r="527" spans="1:2">
      <c r="A527" s="105" t="s">
        <v>731</v>
      </c>
      <c r="B527" s="100">
        <v>654</v>
      </c>
    </row>
    <row r="528" spans="1:2">
      <c r="A528" s="105" t="s">
        <v>732</v>
      </c>
      <c r="B528" s="100">
        <v>125</v>
      </c>
    </row>
    <row r="529" spans="1:2">
      <c r="A529" s="105" t="s">
        <v>733</v>
      </c>
      <c r="B529" s="100">
        <v>658</v>
      </c>
    </row>
    <row r="530" spans="1:2">
      <c r="A530" s="105" t="s">
        <v>734</v>
      </c>
      <c r="B530" s="100">
        <v>473</v>
      </c>
    </row>
    <row r="531" spans="1:2">
      <c r="A531" s="105" t="s">
        <v>735</v>
      </c>
      <c r="B531" s="100">
        <v>736</v>
      </c>
    </row>
    <row r="532" spans="1:2">
      <c r="A532" s="105" t="s">
        <v>736</v>
      </c>
      <c r="B532" s="100">
        <v>1162</v>
      </c>
    </row>
    <row r="533" spans="1:2">
      <c r="A533" s="105" t="s">
        <v>737</v>
      </c>
      <c r="B533" s="100">
        <v>338</v>
      </c>
    </row>
    <row r="534" spans="1:2">
      <c r="A534" s="105" t="s">
        <v>738</v>
      </c>
      <c r="B534" s="100">
        <v>772</v>
      </c>
    </row>
    <row r="535" spans="1:2">
      <c r="A535" s="105" t="s">
        <v>739</v>
      </c>
      <c r="B535" s="100">
        <v>195</v>
      </c>
    </row>
    <row r="536" spans="1:2">
      <c r="A536" s="105" t="s">
        <v>740</v>
      </c>
      <c r="B536" s="100">
        <v>184</v>
      </c>
    </row>
    <row r="537" spans="1:2">
      <c r="A537" s="105" t="s">
        <v>741</v>
      </c>
      <c r="B537" s="100">
        <v>427</v>
      </c>
    </row>
    <row r="538" spans="1:2">
      <c r="A538" s="105" t="s">
        <v>742</v>
      </c>
      <c r="B538" s="100">
        <v>19</v>
      </c>
    </row>
    <row r="539" spans="1:2">
      <c r="A539" s="105" t="s">
        <v>743</v>
      </c>
      <c r="B539" s="100">
        <v>299</v>
      </c>
    </row>
    <row r="540" spans="1:2">
      <c r="A540" s="105" t="s">
        <v>744</v>
      </c>
      <c r="B540" s="100">
        <v>627</v>
      </c>
    </row>
    <row r="541" spans="1:2">
      <c r="A541" s="105" t="s">
        <v>745</v>
      </c>
      <c r="B541" s="100">
        <v>620</v>
      </c>
    </row>
    <row r="542" spans="1:2">
      <c r="A542" s="105" t="s">
        <v>746</v>
      </c>
      <c r="B542" s="100">
        <v>106</v>
      </c>
    </row>
    <row r="543" spans="1:2">
      <c r="A543" s="105" t="s">
        <v>747</v>
      </c>
      <c r="B543" s="100">
        <v>280</v>
      </c>
    </row>
    <row r="544" spans="1:2">
      <c r="A544" s="105" t="s">
        <v>748</v>
      </c>
      <c r="B544" s="100">
        <v>457</v>
      </c>
    </row>
    <row r="545" spans="1:2">
      <c r="A545" s="105" t="s">
        <v>749</v>
      </c>
      <c r="B545" s="100">
        <v>15</v>
      </c>
    </row>
    <row r="546" spans="1:2">
      <c r="A546" s="105" t="s">
        <v>750</v>
      </c>
      <c r="B546" s="100">
        <v>208</v>
      </c>
    </row>
    <row r="547" spans="1:2">
      <c r="A547" s="105" t="s">
        <v>751</v>
      </c>
      <c r="B547" s="100">
        <v>136</v>
      </c>
    </row>
    <row r="548" spans="1:2">
      <c r="A548" s="105" t="s">
        <v>752</v>
      </c>
      <c r="B548" s="100">
        <v>65</v>
      </c>
    </row>
    <row r="549" spans="1:2">
      <c r="A549" s="105" t="s">
        <v>753</v>
      </c>
      <c r="B549" s="100">
        <v>25</v>
      </c>
    </row>
    <row r="550" spans="1:2">
      <c r="A550" s="105" t="s">
        <v>754</v>
      </c>
      <c r="B550" s="100">
        <v>22</v>
      </c>
    </row>
    <row r="551" spans="1:2">
      <c r="A551" s="105" t="s">
        <v>755</v>
      </c>
      <c r="B551" s="100">
        <v>27</v>
      </c>
    </row>
    <row r="552" spans="1:2">
      <c r="A552" s="105" t="s">
        <v>756</v>
      </c>
      <c r="B552" s="100">
        <v>30</v>
      </c>
    </row>
    <row r="553" spans="1:2">
      <c r="A553" s="106" t="s">
        <v>757</v>
      </c>
      <c r="B553" s="102">
        <v>273</v>
      </c>
    </row>
    <row r="554" spans="1:2">
      <c r="A554" s="79" t="s">
        <v>762</v>
      </c>
      <c r="B554" s="80">
        <v>186183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C2" sqref="C2:E2"/>
    </sheetView>
  </sheetViews>
  <sheetFormatPr defaultColWidth="9" defaultRowHeight="14.4" outlineLevelCol="4"/>
  <cols>
    <col min="1" max="1" width="17" style="11" customWidth="1"/>
    <col min="2" max="2" width="21.6666666666667" style="11" customWidth="1"/>
    <col min="3" max="16384" width="9" style="11"/>
  </cols>
  <sheetData>
    <row r="1" ht="15.15" spans="1:2">
      <c r="A1" s="93" t="s">
        <v>760</v>
      </c>
      <c r="B1" s="94" t="s">
        <v>761</v>
      </c>
    </row>
    <row r="2" ht="15.15" spans="1:5">
      <c r="A2" s="95">
        <v>0.708333333333333</v>
      </c>
      <c r="B2" s="96">
        <v>8568</v>
      </c>
      <c r="C2" s="97" t="s">
        <v>763</v>
      </c>
      <c r="D2" s="97"/>
      <c r="E2" s="98"/>
    </row>
    <row r="3" spans="1:2">
      <c r="A3" s="99">
        <v>0.166666666666667</v>
      </c>
      <c r="B3" s="100">
        <v>8287</v>
      </c>
    </row>
    <row r="4" spans="1:2">
      <c r="A4" s="99">
        <v>0.958333333333333</v>
      </c>
      <c r="B4" s="100">
        <v>8210</v>
      </c>
    </row>
    <row r="5" spans="1:2">
      <c r="A5" s="99">
        <v>0.291666666666667</v>
      </c>
      <c r="B5" s="100">
        <v>8197</v>
      </c>
    </row>
    <row r="6" spans="1:2">
      <c r="A6" s="99">
        <v>0.875</v>
      </c>
      <c r="B6" s="100">
        <v>8158</v>
      </c>
    </row>
    <row r="7" spans="1:2">
      <c r="A7" s="99">
        <v>0.333333333333333</v>
      </c>
      <c r="B7" s="100">
        <v>8133</v>
      </c>
    </row>
    <row r="8" spans="1:2">
      <c r="A8" s="99">
        <v>0.0416666666666667</v>
      </c>
      <c r="B8" s="100">
        <v>8063</v>
      </c>
    </row>
    <row r="9" spans="1:2">
      <c r="A9" s="99">
        <v>0.25</v>
      </c>
      <c r="B9" s="100">
        <v>8037</v>
      </c>
    </row>
    <row r="10" spans="1:2">
      <c r="A10" s="99">
        <v>0.375</v>
      </c>
      <c r="B10" s="100">
        <v>7993</v>
      </c>
    </row>
    <row r="11" spans="1:2">
      <c r="A11" s="99">
        <v>0.75</v>
      </c>
      <c r="B11" s="100">
        <v>7973</v>
      </c>
    </row>
    <row r="12" spans="1:2">
      <c r="A12" s="99">
        <v>0</v>
      </c>
      <c r="B12" s="100">
        <v>7915</v>
      </c>
    </row>
    <row r="13" spans="1:2">
      <c r="A13" s="99">
        <v>0.583333333333333</v>
      </c>
      <c r="B13" s="100">
        <v>7910</v>
      </c>
    </row>
    <row r="14" spans="1:2">
      <c r="A14" s="99">
        <v>0.5</v>
      </c>
      <c r="B14" s="100">
        <v>7897</v>
      </c>
    </row>
    <row r="15" spans="1:2">
      <c r="A15" s="99">
        <v>0.125</v>
      </c>
      <c r="B15" s="100">
        <v>7891</v>
      </c>
    </row>
    <row r="16" spans="1:2">
      <c r="A16" s="99">
        <v>0.833333333333333</v>
      </c>
      <c r="B16" s="100">
        <v>7826</v>
      </c>
    </row>
    <row r="17" spans="1:2">
      <c r="A17" s="99">
        <v>0.625</v>
      </c>
      <c r="B17" s="100">
        <v>7594</v>
      </c>
    </row>
    <row r="18" spans="1:2">
      <c r="A18" s="99">
        <v>0.791666666666667</v>
      </c>
      <c r="B18" s="100">
        <v>7544</v>
      </c>
    </row>
    <row r="19" spans="1:2">
      <c r="A19" s="99">
        <v>0.0833333333333333</v>
      </c>
      <c r="B19" s="100">
        <v>7427</v>
      </c>
    </row>
    <row r="20" spans="1:2">
      <c r="A20" s="99">
        <v>0.541666666666667</v>
      </c>
      <c r="B20" s="100">
        <v>7423</v>
      </c>
    </row>
    <row r="21" spans="1:2">
      <c r="A21" s="99">
        <v>0.916666666666667</v>
      </c>
      <c r="B21" s="100">
        <v>7321</v>
      </c>
    </row>
    <row r="22" spans="1:2">
      <c r="A22" s="99">
        <v>0.458333333333333</v>
      </c>
      <c r="B22" s="100">
        <v>7206</v>
      </c>
    </row>
    <row r="23" spans="1:2">
      <c r="A23" s="99">
        <v>0.416666666666667</v>
      </c>
      <c r="B23" s="100">
        <v>7191</v>
      </c>
    </row>
    <row r="24" spans="1:2">
      <c r="A24" s="99">
        <v>0.666666666666667</v>
      </c>
      <c r="B24" s="100">
        <v>7081</v>
      </c>
    </row>
    <row r="25" spans="1:2">
      <c r="A25" s="101">
        <v>0.208333333333333</v>
      </c>
      <c r="B25" s="102">
        <v>6338</v>
      </c>
    </row>
    <row r="26" spans="1:2">
      <c r="A26" s="103" t="s">
        <v>762</v>
      </c>
      <c r="B26" s="80">
        <v>186183</v>
      </c>
    </row>
  </sheetData>
  <mergeCells count="1">
    <mergeCell ref="C2:E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D10" sqref="A1:D24"/>
    </sheetView>
  </sheetViews>
  <sheetFormatPr defaultColWidth="9" defaultRowHeight="14.4" outlineLevelCol="3"/>
  <cols>
    <col min="1" max="1" width="13.1111111111111" customWidth="1"/>
    <col min="2" max="2" width="12.4444444444444" customWidth="1"/>
  </cols>
  <sheetData>
    <row r="1" ht="15.15" spans="1:4">
      <c r="A1" s="81" t="s">
        <v>0</v>
      </c>
      <c r="B1" s="82" t="s">
        <v>1</v>
      </c>
      <c r="C1" s="83" t="s">
        <v>2</v>
      </c>
      <c r="D1" s="11"/>
    </row>
    <row r="2" spans="1:4">
      <c r="A2" s="84" t="s">
        <v>31</v>
      </c>
      <c r="B2" s="85" t="s">
        <v>19</v>
      </c>
      <c r="C2" s="86">
        <v>582</v>
      </c>
      <c r="D2" s="11"/>
    </row>
    <row r="3" spans="1:4">
      <c r="A3" s="87" t="s">
        <v>55</v>
      </c>
      <c r="B3" s="88" t="s">
        <v>7</v>
      </c>
      <c r="C3" s="89">
        <v>444</v>
      </c>
      <c r="D3" s="11"/>
    </row>
    <row r="4" spans="1:4">
      <c r="A4" s="87" t="s">
        <v>79</v>
      </c>
      <c r="B4" s="88" t="s">
        <v>17</v>
      </c>
      <c r="C4" s="89">
        <v>385</v>
      </c>
      <c r="D4" s="11"/>
    </row>
    <row r="5" spans="1:4">
      <c r="A5" s="87" t="s">
        <v>103</v>
      </c>
      <c r="B5" s="88" t="s">
        <v>17</v>
      </c>
      <c r="C5" s="89">
        <v>608</v>
      </c>
      <c r="D5" s="11"/>
    </row>
    <row r="6" spans="1:4">
      <c r="A6" s="87" t="s">
        <v>175</v>
      </c>
      <c r="B6" s="88" t="s">
        <v>21</v>
      </c>
      <c r="C6" s="89">
        <v>256</v>
      </c>
      <c r="D6" s="11"/>
    </row>
    <row r="7" spans="1:4">
      <c r="A7" s="87" t="s">
        <v>199</v>
      </c>
      <c r="B7" s="88" t="s">
        <v>9</v>
      </c>
      <c r="C7" s="89">
        <v>426</v>
      </c>
      <c r="D7" s="11"/>
    </row>
    <row r="8" spans="1:4">
      <c r="A8" s="87" t="s">
        <v>223</v>
      </c>
      <c r="B8" s="88" t="s">
        <v>17</v>
      </c>
      <c r="C8" s="89">
        <v>77</v>
      </c>
      <c r="D8" s="11"/>
    </row>
    <row r="9" spans="1:4">
      <c r="A9" s="87" t="s">
        <v>247</v>
      </c>
      <c r="B9" s="88" t="s">
        <v>5</v>
      </c>
      <c r="C9" s="89">
        <v>533</v>
      </c>
      <c r="D9" s="11"/>
    </row>
    <row r="10" spans="1:4">
      <c r="A10" s="87" t="s">
        <v>271</v>
      </c>
      <c r="B10" s="88" t="s">
        <v>13</v>
      </c>
      <c r="C10" s="89">
        <v>634</v>
      </c>
      <c r="D10" s="11"/>
    </row>
    <row r="11" spans="1:4">
      <c r="A11" s="87" t="s">
        <v>343</v>
      </c>
      <c r="B11" s="88" t="s">
        <v>17</v>
      </c>
      <c r="C11" s="89">
        <v>452</v>
      </c>
      <c r="D11" s="11"/>
    </row>
    <row r="12" spans="1:4">
      <c r="A12" s="87" t="s">
        <v>367</v>
      </c>
      <c r="B12" s="88" t="s">
        <v>5</v>
      </c>
      <c r="C12" s="89">
        <v>75</v>
      </c>
      <c r="D12" s="11"/>
    </row>
    <row r="13" spans="1:4">
      <c r="A13" s="87" t="s">
        <v>391</v>
      </c>
      <c r="B13" s="88" t="s">
        <v>13</v>
      </c>
      <c r="C13" s="89">
        <v>643</v>
      </c>
      <c r="D13" s="11"/>
    </row>
    <row r="14" spans="1:4">
      <c r="A14" s="87" t="s">
        <v>415</v>
      </c>
      <c r="B14" s="88" t="s">
        <v>21</v>
      </c>
      <c r="C14" s="89">
        <v>113</v>
      </c>
      <c r="D14" s="11"/>
    </row>
    <row r="15" spans="1:4">
      <c r="A15" s="87" t="s">
        <v>439</v>
      </c>
      <c r="B15" s="88" t="s">
        <v>9</v>
      </c>
      <c r="C15" s="89">
        <v>34</v>
      </c>
      <c r="D15" s="11"/>
    </row>
    <row r="16" spans="1:4">
      <c r="A16" s="87" t="s">
        <v>511</v>
      </c>
      <c r="B16" s="88" t="s">
        <v>13</v>
      </c>
      <c r="C16" s="89">
        <v>640</v>
      </c>
      <c r="D16" s="11"/>
    </row>
    <row r="17" spans="1:4">
      <c r="A17" s="87" t="s">
        <v>535</v>
      </c>
      <c r="B17" s="88" t="s">
        <v>21</v>
      </c>
      <c r="C17" s="89">
        <v>554</v>
      </c>
      <c r="D17" s="11"/>
    </row>
    <row r="18" spans="1:4">
      <c r="A18" s="87" t="s">
        <v>559</v>
      </c>
      <c r="B18" s="88" t="s">
        <v>9</v>
      </c>
      <c r="C18" s="89">
        <v>327</v>
      </c>
      <c r="D18" s="11"/>
    </row>
    <row r="19" spans="1:4">
      <c r="A19" s="87" t="s">
        <v>583</v>
      </c>
      <c r="B19" s="88" t="s">
        <v>11</v>
      </c>
      <c r="C19" s="89">
        <v>618</v>
      </c>
      <c r="D19" s="11"/>
    </row>
    <row r="20" spans="1:4">
      <c r="A20" s="87" t="s">
        <v>607</v>
      </c>
      <c r="B20" s="88" t="s">
        <v>19</v>
      </c>
      <c r="C20" s="89">
        <v>337</v>
      </c>
      <c r="D20" s="11"/>
    </row>
    <row r="21" spans="1:4">
      <c r="A21" s="87" t="s">
        <v>679</v>
      </c>
      <c r="B21" s="88" t="s">
        <v>23</v>
      </c>
      <c r="C21" s="89">
        <v>411</v>
      </c>
      <c r="D21" s="11"/>
    </row>
    <row r="22" spans="1:4">
      <c r="A22" s="87" t="s">
        <v>703</v>
      </c>
      <c r="B22" s="88" t="s">
        <v>11</v>
      </c>
      <c r="C22" s="89">
        <v>132</v>
      </c>
      <c r="D22" s="11"/>
    </row>
    <row r="23" spans="1:4">
      <c r="A23" s="87" t="s">
        <v>727</v>
      </c>
      <c r="B23" s="88" t="s">
        <v>19</v>
      </c>
      <c r="C23" s="89">
        <v>151</v>
      </c>
      <c r="D23" s="11"/>
    </row>
    <row r="24" ht="15.15" spans="1:4">
      <c r="A24" s="90" t="s">
        <v>751</v>
      </c>
      <c r="B24" s="91" t="s">
        <v>21</v>
      </c>
      <c r="C24" s="92">
        <v>136</v>
      </c>
      <c r="D24" s="1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C2" sqref="C2:F2"/>
    </sheetView>
  </sheetViews>
  <sheetFormatPr defaultColWidth="9" defaultRowHeight="14.4" outlineLevelCol="6"/>
  <cols>
    <col min="1" max="1" width="17" style="11" customWidth="1"/>
    <col min="2" max="2" width="21.6666666666667" style="11" customWidth="1"/>
    <col min="3" max="16384" width="9" style="11"/>
  </cols>
  <sheetData>
    <row r="1" ht="15.15" spans="1:4">
      <c r="A1" s="64" t="s">
        <v>760</v>
      </c>
      <c r="B1" s="65" t="s">
        <v>761</v>
      </c>
      <c r="D1" s="63"/>
    </row>
    <row r="2" ht="15.15" spans="1:7">
      <c r="A2" s="66" t="s">
        <v>13</v>
      </c>
      <c r="B2" s="67">
        <v>1917</v>
      </c>
      <c r="C2" s="68" t="s">
        <v>764</v>
      </c>
      <c r="D2" s="69"/>
      <c r="E2" s="69"/>
      <c r="F2" s="70"/>
      <c r="G2" s="63"/>
    </row>
    <row r="3" spans="1:7">
      <c r="A3" s="71" t="s">
        <v>17</v>
      </c>
      <c r="B3" s="72">
        <v>1522</v>
      </c>
      <c r="C3" s="63"/>
      <c r="D3" s="63"/>
      <c r="G3" s="63"/>
    </row>
    <row r="4" spans="1:7">
      <c r="A4" s="71" t="s">
        <v>19</v>
      </c>
      <c r="B4" s="72">
        <v>1070</v>
      </c>
      <c r="G4" s="63"/>
    </row>
    <row r="5" spans="1:2">
      <c r="A5" s="73" t="s">
        <v>21</v>
      </c>
      <c r="B5" s="74">
        <v>1059</v>
      </c>
    </row>
    <row r="6" spans="1:2">
      <c r="A6" s="75" t="s">
        <v>9</v>
      </c>
      <c r="B6" s="76">
        <v>787</v>
      </c>
    </row>
    <row r="7" spans="1:2">
      <c r="A7" s="55" t="s">
        <v>11</v>
      </c>
      <c r="B7" s="77">
        <v>750</v>
      </c>
    </row>
    <row r="8" spans="1:2">
      <c r="A8" s="55" t="s">
        <v>5</v>
      </c>
      <c r="B8" s="77">
        <v>608</v>
      </c>
    </row>
    <row r="9" spans="1:2">
      <c r="A9" s="55" t="s">
        <v>7</v>
      </c>
      <c r="B9" s="77">
        <v>444</v>
      </c>
    </row>
    <row r="10" ht="15.15" spans="1:2">
      <c r="A10" s="59" t="s">
        <v>23</v>
      </c>
      <c r="B10" s="78">
        <v>411</v>
      </c>
    </row>
    <row r="11" ht="15.15" spans="1:2">
      <c r="A11" s="79" t="s">
        <v>762</v>
      </c>
      <c r="B11" s="80">
        <v>8568</v>
      </c>
    </row>
  </sheetData>
  <mergeCells count="1">
    <mergeCell ref="C2:F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F10" sqref="$A1:$XFD1048576"/>
    </sheetView>
  </sheetViews>
  <sheetFormatPr defaultColWidth="9" defaultRowHeight="14.4"/>
  <cols>
    <col min="1" max="1" width="11.7777777777778" style="11" customWidth="1"/>
    <col min="2" max="2" width="9" style="11"/>
    <col min="3" max="3" width="14.5555555555556" style="11" customWidth="1"/>
    <col min="4" max="4" width="17.7777777777778" style="11" customWidth="1"/>
    <col min="5" max="6" width="9" style="11"/>
    <col min="7" max="7" width="6.44444444444444" style="11" customWidth="1"/>
    <col min="8" max="16384" width="9" style="11"/>
  </cols>
  <sheetData>
    <row r="1" ht="28.2" customHeight="1" spans="1:8">
      <c r="A1" s="20" t="s">
        <v>1</v>
      </c>
      <c r="B1" s="20" t="s">
        <v>2</v>
      </c>
      <c r="C1" s="21" t="s">
        <v>765</v>
      </c>
      <c r="D1" s="22" t="s">
        <v>766</v>
      </c>
      <c r="E1" s="45" t="s">
        <v>767</v>
      </c>
      <c r="F1" s="46"/>
      <c r="G1" s="46"/>
      <c r="H1" s="47">
        <v>23</v>
      </c>
    </row>
    <row r="2" ht="15.15" spans="1:8">
      <c r="A2" s="48" t="s">
        <v>13</v>
      </c>
      <c r="B2" s="49">
        <v>1917</v>
      </c>
      <c r="C2" s="50">
        <f>B2/$H$1</f>
        <v>83.3478260869565</v>
      </c>
      <c r="D2" s="51">
        <f>(B2/$H$2)*100</f>
        <v>1.02963213612414</v>
      </c>
      <c r="E2" s="52" t="s">
        <v>768</v>
      </c>
      <c r="F2" s="53"/>
      <c r="G2" s="53"/>
      <c r="H2" s="54">
        <f>GETPIVOTDATA("Кол-во",Сводная_таблица_поиска_ЧПН!$A$1)</f>
        <v>186183</v>
      </c>
    </row>
    <row r="3" spans="1:4">
      <c r="A3" s="55" t="s">
        <v>17</v>
      </c>
      <c r="B3" s="56">
        <v>1522</v>
      </c>
      <c r="C3" s="57">
        <f t="shared" ref="C3:C10" si="0">B3/$H$1</f>
        <v>66.1739130434783</v>
      </c>
      <c r="D3" s="58">
        <f t="shared" ref="D3:D10" si="1">(B3/$H$2)*100</f>
        <v>0.817475279697932</v>
      </c>
    </row>
    <row r="4" spans="1:4">
      <c r="A4" s="55" t="s">
        <v>19</v>
      </c>
      <c r="B4" s="56">
        <v>1070</v>
      </c>
      <c r="C4" s="57">
        <f t="shared" si="0"/>
        <v>46.5217391304348</v>
      </c>
      <c r="D4" s="58">
        <f t="shared" si="1"/>
        <v>0.574703383230478</v>
      </c>
    </row>
    <row r="5" spans="1:4">
      <c r="A5" s="55" t="s">
        <v>21</v>
      </c>
      <c r="B5" s="56">
        <v>1059</v>
      </c>
      <c r="C5" s="57">
        <f t="shared" si="0"/>
        <v>46.0434782608696</v>
      </c>
      <c r="D5" s="58">
        <f t="shared" si="1"/>
        <v>0.568795217608482</v>
      </c>
    </row>
    <row r="6" spans="1:4">
      <c r="A6" s="55" t="s">
        <v>9</v>
      </c>
      <c r="B6" s="56">
        <v>787</v>
      </c>
      <c r="C6" s="57">
        <f t="shared" si="0"/>
        <v>34.2173913043478</v>
      </c>
      <c r="D6" s="58">
        <f t="shared" si="1"/>
        <v>0.422702394955501</v>
      </c>
    </row>
    <row r="7" spans="1:4">
      <c r="A7" s="55" t="s">
        <v>11</v>
      </c>
      <c r="B7" s="56">
        <v>750</v>
      </c>
      <c r="C7" s="57">
        <f t="shared" si="0"/>
        <v>32.6086956521739</v>
      </c>
      <c r="D7" s="58">
        <f t="shared" si="1"/>
        <v>0.40282947422697</v>
      </c>
    </row>
    <row r="8" spans="1:4">
      <c r="A8" s="55" t="s">
        <v>5</v>
      </c>
      <c r="B8" s="56">
        <v>608</v>
      </c>
      <c r="C8" s="57">
        <f t="shared" si="0"/>
        <v>26.4347826086957</v>
      </c>
      <c r="D8" s="58">
        <f t="shared" si="1"/>
        <v>0.326560427106664</v>
      </c>
    </row>
    <row r="9" spans="1:4">
      <c r="A9" s="55" t="s">
        <v>7</v>
      </c>
      <c r="B9" s="56">
        <v>444</v>
      </c>
      <c r="C9" s="57">
        <f t="shared" si="0"/>
        <v>19.304347826087</v>
      </c>
      <c r="D9" s="58">
        <f t="shared" si="1"/>
        <v>0.238475048742366</v>
      </c>
    </row>
    <row r="10" ht="15.15" spans="1:4">
      <c r="A10" s="59" t="s">
        <v>23</v>
      </c>
      <c r="B10" s="60">
        <v>411</v>
      </c>
      <c r="C10" s="61">
        <f t="shared" si="0"/>
        <v>17.8695652173913</v>
      </c>
      <c r="D10" s="62">
        <f t="shared" si="1"/>
        <v>0.22075055187638</v>
      </c>
    </row>
    <row r="23" spans="10:10">
      <c r="J23" s="63"/>
    </row>
  </sheetData>
  <mergeCells count="2">
    <mergeCell ref="E1:G1"/>
    <mergeCell ref="E2:G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1" sqref="C1:D3"/>
    </sheetView>
  </sheetViews>
  <sheetFormatPr defaultColWidth="9" defaultRowHeight="14.4" outlineLevelCol="3"/>
  <cols>
    <col min="1" max="1" width="17" style="11" customWidth="1"/>
    <col min="2" max="2" width="21.6666666666667" style="11" customWidth="1"/>
    <col min="3" max="3" width="9" style="11"/>
    <col min="4" max="4" width="13.8888888888889" style="11" customWidth="1"/>
    <col min="5" max="16384" width="9" style="11"/>
  </cols>
  <sheetData>
    <row r="1" ht="15" customHeight="1" spans="1:4">
      <c r="A1" s="40" t="s">
        <v>760</v>
      </c>
      <c r="B1" s="41" t="s">
        <v>761</v>
      </c>
      <c r="C1" s="42"/>
      <c r="D1" s="42"/>
    </row>
    <row r="2" spans="1:4">
      <c r="A2" s="7" t="s">
        <v>11</v>
      </c>
      <c r="B2" s="24">
        <v>21623</v>
      </c>
      <c r="C2" s="42"/>
      <c r="D2" s="42"/>
    </row>
    <row r="3" spans="1:4">
      <c r="A3" s="12" t="s">
        <v>21</v>
      </c>
      <c r="B3" s="27">
        <v>18095</v>
      </c>
      <c r="C3" s="42"/>
      <c r="D3" s="42"/>
    </row>
    <row r="4" spans="1:2">
      <c r="A4" s="12" t="s">
        <v>19</v>
      </c>
      <c r="B4" s="27">
        <v>18016</v>
      </c>
    </row>
    <row r="5" spans="1:2">
      <c r="A5" s="12" t="s">
        <v>13</v>
      </c>
      <c r="B5" s="27">
        <v>16452</v>
      </c>
    </row>
    <row r="6" spans="1:2">
      <c r="A6" s="12" t="s">
        <v>15</v>
      </c>
      <c r="B6" s="27">
        <v>18000</v>
      </c>
    </row>
    <row r="7" spans="1:2">
      <c r="A7" s="12" t="s">
        <v>7</v>
      </c>
      <c r="B7" s="27">
        <v>18985</v>
      </c>
    </row>
    <row r="8" spans="1:2">
      <c r="A8" s="12" t="s">
        <v>5</v>
      </c>
      <c r="B8" s="27">
        <v>17512</v>
      </c>
    </row>
    <row r="9" spans="1:2">
      <c r="A9" s="12" t="s">
        <v>9</v>
      </c>
      <c r="B9" s="27">
        <v>19758</v>
      </c>
    </row>
    <row r="10" spans="1:2">
      <c r="A10" s="12" t="s">
        <v>23</v>
      </c>
      <c r="B10" s="27">
        <v>18828</v>
      </c>
    </row>
    <row r="11" ht="15.15" spans="1:2">
      <c r="A11" s="16" t="s">
        <v>17</v>
      </c>
      <c r="B11" s="30">
        <v>18914</v>
      </c>
    </row>
    <row r="12" ht="15.15" spans="1:2">
      <c r="A12" s="43" t="s">
        <v>762</v>
      </c>
      <c r="B12" s="44">
        <v>186183</v>
      </c>
    </row>
  </sheetData>
  <mergeCells count="1">
    <mergeCell ref="C1:D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7" sqref="A1:G7"/>
    </sheetView>
  </sheetViews>
  <sheetFormatPr defaultColWidth="9" defaultRowHeight="14.4" outlineLevelRow="6" outlineLevelCol="6"/>
  <cols>
    <col min="1" max="1" width="12.4444444444444" customWidth="1"/>
    <col min="2" max="2" width="8" customWidth="1"/>
    <col min="3" max="3" width="15.1111111111111" customWidth="1"/>
    <col min="4" max="4" width="17.2222222222222" customWidth="1"/>
    <col min="5" max="5" width="27.1111111111111" customWidth="1"/>
    <col min="6" max="6" width="18" customWidth="1"/>
    <col min="8" max="8" width="8.88888888888889" customWidth="1"/>
  </cols>
  <sheetData>
    <row r="1" ht="27.6" customHeight="1" spans="1:7">
      <c r="A1" s="1" t="s">
        <v>1</v>
      </c>
      <c r="B1" s="2" t="s">
        <v>2</v>
      </c>
      <c r="C1" s="3" t="s">
        <v>765</v>
      </c>
      <c r="D1" s="3" t="s">
        <v>769</v>
      </c>
      <c r="E1" s="4" t="s">
        <v>770</v>
      </c>
      <c r="F1" s="5" t="s">
        <v>771</v>
      </c>
      <c r="G1" s="6">
        <f>GETPIVOTDATA("Кол-во",Сводная_таблица_операций_в_ЧПН!$A$1)</f>
        <v>8568</v>
      </c>
    </row>
    <row r="2" spans="1:7">
      <c r="A2" s="7" t="s">
        <v>13</v>
      </c>
      <c r="B2" s="8">
        <v>1917</v>
      </c>
      <c r="C2" s="9">
        <f>B2/Таблица_с_интенсивностью!$H$1</f>
        <v>83.3478260869565</v>
      </c>
      <c r="D2" s="9">
        <f>(B2/$G$1)*100</f>
        <v>22.3739495798319</v>
      </c>
      <c r="E2" s="37">
        <f>GETPIVOTDATA("Кол-во",Сводная_таблица_транзакций!$A$1,"Транзакция","GetIssue")</f>
        <v>16452</v>
      </c>
      <c r="F2" s="11"/>
      <c r="G2" s="11"/>
    </row>
    <row r="3" spans="1:7">
      <c r="A3" s="12" t="s">
        <v>17</v>
      </c>
      <c r="B3" s="13">
        <v>1522</v>
      </c>
      <c r="C3" s="14">
        <f>B3/Таблица_с_интенсивностью!$H$1</f>
        <v>66.1739130434783</v>
      </c>
      <c r="D3" s="14">
        <f t="shared" ref="D3:D5" si="0">(B3/$G$1)*100</f>
        <v>17.7637721755369</v>
      </c>
      <c r="E3" s="38">
        <f>GETPIVOTDATA("Кол-во",Сводная_таблица_транзакций!$A$1,"Транзакция","UpdateIssue")</f>
        <v>18914</v>
      </c>
      <c r="F3" s="11"/>
      <c r="G3" s="11"/>
    </row>
    <row r="4" spans="1:7">
      <c r="A4" s="12" t="s">
        <v>19</v>
      </c>
      <c r="B4" s="13">
        <v>1070</v>
      </c>
      <c r="C4" s="14">
        <f>B4/Таблица_с_интенсивностью!$H$1</f>
        <v>46.5217391304348</v>
      </c>
      <c r="D4" s="14">
        <f t="shared" si="0"/>
        <v>12.4883286647993</v>
      </c>
      <c r="E4" s="38">
        <f>GETPIVOTDATA("Кол-во",Сводная_таблица_транзакций!$A$1,"Транзакция","DeleteIssue")</f>
        <v>18016</v>
      </c>
      <c r="F4" s="11"/>
      <c r="G4" s="11"/>
    </row>
    <row r="5" ht="15.15" spans="1:7">
      <c r="A5" s="16" t="s">
        <v>21</v>
      </c>
      <c r="B5" s="17">
        <v>1059</v>
      </c>
      <c r="C5" s="18">
        <f>B5/Таблица_с_интенсивностью!$H$1</f>
        <v>46.0434782608696</v>
      </c>
      <c r="D5" s="18">
        <f t="shared" si="0"/>
        <v>12.359943977591</v>
      </c>
      <c r="E5" s="39">
        <f>GETPIVOTDATA("Кол-во",Сводная_таблица_транзакций!$A$1,"Транзакция","CreateIssue")</f>
        <v>18095</v>
      </c>
      <c r="F5" s="11"/>
      <c r="G5" s="11"/>
    </row>
    <row r="6" spans="1:7">
      <c r="A6" s="11"/>
      <c r="B6" s="11"/>
      <c r="C6" s="11"/>
      <c r="D6" s="11"/>
      <c r="E6" s="11"/>
      <c r="F6" s="11"/>
      <c r="G6" s="11"/>
    </row>
    <row r="7" spans="1:7">
      <c r="A7" s="11"/>
      <c r="B7" s="11"/>
      <c r="C7" s="11"/>
      <c r="D7" s="11"/>
      <c r="E7" s="11"/>
      <c r="F7" s="11"/>
      <c r="G7" s="1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4" sqref="G4"/>
    </sheetView>
  </sheetViews>
  <sheetFormatPr defaultColWidth="9" defaultRowHeight="14.4" outlineLevelRow="5" outlineLevelCol="7"/>
  <cols>
    <col min="1" max="1" width="11.7777777777778" style="11" customWidth="1"/>
    <col min="2" max="2" width="9" style="11"/>
    <col min="3" max="3" width="14.3333333333333" style="11" customWidth="1"/>
    <col min="4" max="4" width="17.8888888888889" style="11" customWidth="1"/>
    <col min="5" max="5" width="14.5555555555556" style="11" customWidth="1"/>
    <col min="6" max="6" width="17.8888888888889" style="11" customWidth="1"/>
    <col min="7" max="7" width="16.1111111111111" style="11" customWidth="1"/>
    <col min="8" max="16384" width="9" style="11"/>
  </cols>
  <sheetData>
    <row r="1" ht="39" customHeight="1" spans="1:8">
      <c r="A1" s="20" t="s">
        <v>1</v>
      </c>
      <c r="B1" s="20" t="s">
        <v>2</v>
      </c>
      <c r="C1" s="21" t="s">
        <v>765</v>
      </c>
      <c r="D1" s="22" t="s">
        <v>769</v>
      </c>
      <c r="E1" s="21" t="s">
        <v>765</v>
      </c>
      <c r="F1" s="22" t="s">
        <v>769</v>
      </c>
      <c r="G1" s="23" t="s">
        <v>771</v>
      </c>
      <c r="H1" s="6">
        <f>GETPIVOTDATA("Кол-во",Сводная_таблица_операций_в_ЧПН!$A$1)</f>
        <v>8568</v>
      </c>
    </row>
    <row r="2" spans="1:6">
      <c r="A2" s="7" t="s">
        <v>13</v>
      </c>
      <c r="B2" s="24">
        <v>1917</v>
      </c>
      <c r="C2" s="25">
        <f>B2/Таблица_с_интенсивностью!$H$1</f>
        <v>83.3478260869565</v>
      </c>
      <c r="D2" s="26">
        <f>(B2/$H$1)*100</f>
        <v>22.3739495798319</v>
      </c>
      <c r="E2" s="25">
        <v>80</v>
      </c>
      <c r="F2" s="26">
        <v>37</v>
      </c>
    </row>
    <row r="3" spans="1:6">
      <c r="A3" s="12" t="s">
        <v>17</v>
      </c>
      <c r="B3" s="27">
        <v>1522</v>
      </c>
      <c r="C3" s="28">
        <f>B3/Таблица_с_интенсивностью!$H$1</f>
        <v>66.1739130434783</v>
      </c>
      <c r="D3" s="29">
        <f t="shared" ref="D3:D4" si="0">(B3/$H$1)*100</f>
        <v>17.7637721755369</v>
      </c>
      <c r="E3" s="28">
        <v>55</v>
      </c>
      <c r="F3" s="29">
        <v>25</v>
      </c>
    </row>
    <row r="4" spans="1:6">
      <c r="A4" s="12" t="s">
        <v>19</v>
      </c>
      <c r="B4" s="27">
        <v>1070</v>
      </c>
      <c r="C4" s="28">
        <f>B4/Таблица_с_интенсивностью!$H$1</f>
        <v>46.5217391304348</v>
      </c>
      <c r="D4" s="29">
        <f t="shared" si="0"/>
        <v>12.4883286647993</v>
      </c>
      <c r="E4" s="28">
        <v>45</v>
      </c>
      <c r="F4" s="29">
        <v>21</v>
      </c>
    </row>
    <row r="5" ht="15.15" spans="1:6">
      <c r="A5" s="16" t="s">
        <v>21</v>
      </c>
      <c r="B5" s="30">
        <v>1059</v>
      </c>
      <c r="C5" s="31">
        <f>B5/Таблица_с_интенсивностью!$H$1</f>
        <v>46.0434782608696</v>
      </c>
      <c r="D5" s="32">
        <f>(B5/$H$1)*100</f>
        <v>12.359943977591</v>
      </c>
      <c r="E5" s="31">
        <v>36</v>
      </c>
      <c r="F5" s="32">
        <v>17</v>
      </c>
    </row>
    <row r="6" ht="15.15" spans="3:6">
      <c r="C6" s="33" t="s">
        <v>772</v>
      </c>
      <c r="D6" s="34"/>
      <c r="E6" s="35" t="s">
        <v>773</v>
      </c>
      <c r="F6" s="36"/>
    </row>
  </sheetData>
  <mergeCells count="2">
    <mergeCell ref="C6:D6"/>
    <mergeCell ref="E6:F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F5" sqref="A1:G5"/>
    </sheetView>
  </sheetViews>
  <sheetFormatPr defaultColWidth="9" defaultRowHeight="14.4" outlineLevelRow="4" outlineLevelCol="6"/>
  <cols>
    <col min="1" max="1" width="12.5555555555556" customWidth="1"/>
    <col min="2" max="2" width="11.6666666666667" customWidth="1"/>
    <col min="3" max="3" width="14.4444444444444" customWidth="1"/>
    <col min="4" max="4" width="17.3333333333333" customWidth="1"/>
    <col min="5" max="5" width="20.4444444444444" customWidth="1"/>
    <col min="6" max="6" width="15.1111111111111" customWidth="1"/>
  </cols>
  <sheetData>
    <row r="1" ht="30.6" customHeight="1" spans="1:7">
      <c r="A1" s="1" t="s">
        <v>1</v>
      </c>
      <c r="B1" s="2" t="s">
        <v>2</v>
      </c>
      <c r="C1" s="3" t="s">
        <v>765</v>
      </c>
      <c r="D1" s="3" t="s">
        <v>769</v>
      </c>
      <c r="E1" s="4" t="s">
        <v>774</v>
      </c>
      <c r="F1" s="5" t="s">
        <v>771</v>
      </c>
      <c r="G1" s="6">
        <f>GETPIVOTDATA("Кол-во",Сводная_таблица_операций_в_ЧПН!$A$1)</f>
        <v>8568</v>
      </c>
    </row>
    <row r="2" spans="1:7">
      <c r="A2" s="7" t="s">
        <v>13</v>
      </c>
      <c r="B2" s="8">
        <v>1917</v>
      </c>
      <c r="C2" s="9">
        <f>B2/Таблица_с_интенсивностью!$H$1</f>
        <v>83.3478260869565</v>
      </c>
      <c r="D2" s="9">
        <f>(B2/$G$1)*100</f>
        <v>22.3739495798319</v>
      </c>
      <c r="E2" s="10">
        <f>(C2/Сравнение_топ4_текущ_предыдущ!E2-1)*100</f>
        <v>4.18478260869564</v>
      </c>
      <c r="F2" s="11"/>
      <c r="G2" s="11"/>
    </row>
    <row r="3" spans="1:7">
      <c r="A3" s="12" t="s">
        <v>17</v>
      </c>
      <c r="B3" s="13">
        <v>1522</v>
      </c>
      <c r="C3" s="14">
        <f>B3/Таблица_с_интенсивностью!$H$1</f>
        <v>66.1739130434783</v>
      </c>
      <c r="D3" s="14">
        <f t="shared" ref="D3:D5" si="0">(B3/$G$1)*100</f>
        <v>17.7637721755369</v>
      </c>
      <c r="E3" s="15">
        <f>(C3/Сравнение_топ4_текущ_предыдущ!E3-1)*100</f>
        <v>20.3162055335969</v>
      </c>
      <c r="F3" s="11"/>
      <c r="G3" s="11"/>
    </row>
    <row r="4" spans="1:7">
      <c r="A4" s="12" t="s">
        <v>19</v>
      </c>
      <c r="B4" s="13">
        <v>1070</v>
      </c>
      <c r="C4" s="14">
        <f>B4/Таблица_с_интенсивностью!$H$1</f>
        <v>46.5217391304348</v>
      </c>
      <c r="D4" s="14">
        <f t="shared" si="0"/>
        <v>12.4883286647993</v>
      </c>
      <c r="E4" s="15">
        <f>(C4/Сравнение_топ4_текущ_предыдущ!E4-1)*100</f>
        <v>3.38164251207729</v>
      </c>
      <c r="F4" s="11"/>
      <c r="G4" s="11"/>
    </row>
    <row r="5" ht="15.15" spans="1:7">
      <c r="A5" s="16" t="s">
        <v>21</v>
      </c>
      <c r="B5" s="17">
        <v>1059</v>
      </c>
      <c r="C5" s="18">
        <f>B5/Таблица_с_интенсивностью!$H$1</f>
        <v>46.0434782608696</v>
      </c>
      <c r="D5" s="18">
        <f t="shared" si="0"/>
        <v>12.359943977591</v>
      </c>
      <c r="E5" s="19">
        <f>(C5/Сравнение_топ4_текущ_предыдущ!E5-1)*100</f>
        <v>27.8985507246377</v>
      </c>
      <c r="F5" s="11"/>
      <c r="G5" s="11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��>:C<5=B!>740=85 4>:C<5=B01I89 4>ABC? A 8A?>;L7>20=85<!>2<5AB=> A ?>4@>1=>ABO<8"8? :>=B5=B00720=85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7F4B82E-2926-4FE3-8BBE-40502C5B4E6F}">
  <ds:schemaRefs/>
</ds:datastoreItem>
</file>

<file path=customXml/itemProps2.xml><?xml version="1.0" encoding="utf-8"?>
<ds:datastoreItem xmlns:ds="http://schemas.openxmlformats.org/officeDocument/2006/customXml" ds:itemID="{67CD455A-890C-41FA-BA6F-D6EA61F09C06}">
  <ds:schemaRefs/>
</ds:datastoreItem>
</file>

<file path=customXml/itemProps3.xml><?xml version="1.0" encoding="utf-8"?>
<ds:datastoreItem xmlns:ds="http://schemas.openxmlformats.org/officeDocument/2006/customXml" ds:itemID="{99D59984-78B4-4216-9436-34613CFC7B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Основная_таблица</vt:lpstr>
      <vt:lpstr>Таблица_без_выходных</vt:lpstr>
      <vt:lpstr>Сводная_таблица_по_часам</vt:lpstr>
      <vt:lpstr>Сводная_таблица_поиска_ЧПН</vt:lpstr>
      <vt:lpstr>Таблица_операций_в_ЧПН</vt:lpstr>
      <vt:lpstr>Сводная_таблица_операций_в_ЧПН</vt:lpstr>
      <vt:lpstr>Таблица_с_интенсивностью</vt:lpstr>
      <vt:lpstr>Сводная_таблица_транзакций</vt:lpstr>
      <vt:lpstr>Таблица_топ-4</vt:lpstr>
      <vt:lpstr>Сравнение_топ4_текущ_предыдущ</vt:lpstr>
      <vt:lpstr>Итоговый_профиль_нагрузки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Шамко Денис</dc:creator>
  <cp:lastModifiedBy>Honor</cp:lastModifiedBy>
  <cp:revision>2</cp:revision>
  <dcterms:created xsi:type="dcterms:W3CDTF">2015-06-05T18:19:00Z</dcterms:created>
  <dcterms:modified xsi:type="dcterms:W3CDTF">2025-12-19T14:14:43Z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YSCLASS">
    <vt:lpwstr>Конфиденциально</vt:lpwstr>
  </property>
  <property fmtid="{D5CDD505-2E9C-101B-9397-08002B2CF9AE}" pid="3" name="ICV">
    <vt:lpwstr>C9589EDB1A534A8E8835034218278E95_12</vt:lpwstr>
  </property>
  <property fmtid="{D5CDD505-2E9C-101B-9397-08002B2CF9AE}" pid="4" name="KSOProductBuildVer">
    <vt:lpwstr>1049-12.2.0.23155</vt:lpwstr>
  </property>
</Properties>
</file>